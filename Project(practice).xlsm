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unn\Desktop\Usama\Excel\"/>
    </mc:Choice>
  </mc:AlternateContent>
  <bookViews>
    <workbookView xWindow="0" yWindow="0" windowWidth="20490" windowHeight="7620" activeTab="4"/>
  </bookViews>
  <sheets>
    <sheet name="Home" sheetId="1" r:id="rId1"/>
    <sheet name="Details" sheetId="5" r:id="rId2"/>
    <sheet name="Purchase" sheetId="2" r:id="rId3"/>
    <sheet name="Sale" sheetId="3" r:id="rId4"/>
    <sheet name="Stock" sheetId="4" r:id="rId5"/>
  </sheets>
  <definedNames>
    <definedName name="_xlnm._FilterDatabase" localSheetId="2" hidden="1">Purchase!$D$3:$D$12</definedName>
    <definedName name="_xlnm.Criteria" localSheetId="4">Stock!$G$3:$G$4</definedName>
    <definedName name="_xlnm.Extract" localSheetId="4">Stock!$B$3:$B$22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2" i="4" l="1"/>
  <c r="C13" i="4"/>
  <c r="C14" i="4"/>
  <c r="C15" i="4"/>
  <c r="C16" i="4"/>
  <c r="C17" i="4"/>
  <c r="C18" i="4"/>
  <c r="C19" i="4"/>
  <c r="C20" i="4"/>
  <c r="C21" i="4"/>
  <c r="C22" i="4"/>
  <c r="D12" i="4"/>
  <c r="E12" i="4" s="1"/>
  <c r="D13" i="4"/>
  <c r="E13" i="4" s="1"/>
  <c r="D14" i="4"/>
  <c r="D15" i="4"/>
  <c r="D16" i="4"/>
  <c r="E16" i="4" s="1"/>
  <c r="D17" i="4"/>
  <c r="E17" i="4" s="1"/>
  <c r="D18" i="4"/>
  <c r="D19" i="4"/>
  <c r="D20" i="4"/>
  <c r="E20" i="4" s="1"/>
  <c r="D21" i="4"/>
  <c r="E21" i="4" s="1"/>
  <c r="D22" i="4"/>
  <c r="E14" i="4"/>
  <c r="E18" i="4"/>
  <c r="E22" i="4"/>
  <c r="M6" i="5" a="1"/>
  <c r="M6" i="5" s="1"/>
  <c r="M7" i="5" a="1"/>
  <c r="M7" i="5" s="1"/>
  <c r="M8" i="5" a="1"/>
  <c r="M8" i="5" s="1"/>
  <c r="M9" i="5" a="1"/>
  <c r="M9" i="5" s="1"/>
  <c r="M10" i="5" a="1"/>
  <c r="M10" i="5" s="1"/>
  <c r="M11" i="5" a="1"/>
  <c r="M11" i="5" s="1"/>
  <c r="M12" i="5" a="1"/>
  <c r="M12" i="5" s="1"/>
  <c r="M5" i="5" a="1"/>
  <c r="M5" i="5" s="1"/>
  <c r="C5" i="5" a="1"/>
  <c r="C5" i="5" s="1"/>
  <c r="C20" i="5" a="1"/>
  <c r="C20" i="5" s="1"/>
  <c r="N5" i="5" a="1"/>
  <c r="N5" i="5" s="1"/>
  <c r="N6" i="5" a="1"/>
  <c r="N6" i="5" s="1"/>
  <c r="N7" i="5" a="1"/>
  <c r="N7" i="5" s="1"/>
  <c r="N8" i="5" a="1"/>
  <c r="N8" i="5" s="1"/>
  <c r="N9" i="5" a="1"/>
  <c r="N9" i="5" s="1"/>
  <c r="N10" i="5" a="1"/>
  <c r="N10" i="5" s="1"/>
  <c r="N11" i="5" a="1"/>
  <c r="N11" i="5" s="1"/>
  <c r="N12" i="5" a="1"/>
  <c r="N12" i="5" s="1"/>
  <c r="N13" i="5" a="1"/>
  <c r="N13" i="5" s="1"/>
  <c r="N14" i="5" a="1"/>
  <c r="N14" i="5" s="1"/>
  <c r="N15" i="5" a="1"/>
  <c r="N15" i="5" s="1"/>
  <c r="N16" i="5" a="1"/>
  <c r="N16" i="5" s="1"/>
  <c r="N17" i="5" a="1"/>
  <c r="N17" i="5" s="1"/>
  <c r="N18" i="5" a="1"/>
  <c r="N18" i="5" s="1"/>
  <c r="N19" i="5" a="1"/>
  <c r="N19" i="5" s="1"/>
  <c r="N20" i="5" a="1"/>
  <c r="N20" i="5" s="1"/>
  <c r="M13" i="5" a="1"/>
  <c r="M13" i="5" s="1"/>
  <c r="M14" i="5" a="1"/>
  <c r="M14" i="5" s="1"/>
  <c r="M15" i="5" a="1"/>
  <c r="M15" i="5" s="1"/>
  <c r="M16" i="5" a="1"/>
  <c r="M16" i="5" s="1"/>
  <c r="M17" i="5" a="1"/>
  <c r="M17" i="5" s="1"/>
  <c r="M18" i="5" a="1"/>
  <c r="M18" i="5" s="1"/>
  <c r="M19" i="5" a="1"/>
  <c r="M19" i="5" s="1"/>
  <c r="M20" i="5" a="1"/>
  <c r="M20" i="5" s="1"/>
  <c r="P5" i="5" a="1"/>
  <c r="P5" i="5" s="1"/>
  <c r="P6" i="5" a="1"/>
  <c r="P6" i="5" s="1"/>
  <c r="P7" i="5" a="1"/>
  <c r="P7" i="5" s="1"/>
  <c r="P8" i="5" a="1"/>
  <c r="P8" i="5" s="1"/>
  <c r="P9" i="5" a="1"/>
  <c r="P9" i="5" s="1"/>
  <c r="P10" i="5" a="1"/>
  <c r="P10" i="5" s="1"/>
  <c r="P11" i="5" a="1"/>
  <c r="P11" i="5" s="1"/>
  <c r="P12" i="5" a="1"/>
  <c r="P12" i="5" s="1"/>
  <c r="P13" i="5" a="1"/>
  <c r="P13" i="5" s="1"/>
  <c r="P14" i="5" a="1"/>
  <c r="P14" i="5" s="1"/>
  <c r="P15" i="5" a="1"/>
  <c r="P15" i="5" s="1"/>
  <c r="P16" i="5" a="1"/>
  <c r="P16" i="5" s="1"/>
  <c r="P17" i="5" a="1"/>
  <c r="P17" i="5" s="1"/>
  <c r="P18" i="5" a="1"/>
  <c r="P18" i="5" s="1"/>
  <c r="P19" i="5" a="1"/>
  <c r="P19" i="5" s="1"/>
  <c r="P20" i="5" a="1"/>
  <c r="P20" i="5" s="1"/>
  <c r="O5" i="5" a="1"/>
  <c r="O5" i="5" s="1"/>
  <c r="O6" i="5" a="1"/>
  <c r="O6" i="5" s="1"/>
  <c r="O7" i="5" a="1"/>
  <c r="O7" i="5" s="1"/>
  <c r="O8" i="5" a="1"/>
  <c r="O8" i="5" s="1"/>
  <c r="O9" i="5" a="1"/>
  <c r="O9" i="5" s="1"/>
  <c r="O10" i="5" a="1"/>
  <c r="O10" i="5" s="1"/>
  <c r="O11" i="5" a="1"/>
  <c r="O11" i="5" s="1"/>
  <c r="O12" i="5" a="1"/>
  <c r="O12" i="5" s="1"/>
  <c r="O13" i="5" a="1"/>
  <c r="O13" i="5" s="1"/>
  <c r="O14" i="5" a="1"/>
  <c r="O14" i="5" s="1"/>
  <c r="O15" i="5" a="1"/>
  <c r="O15" i="5" s="1"/>
  <c r="O16" i="5" a="1"/>
  <c r="O16" i="5" s="1"/>
  <c r="O17" i="5" a="1"/>
  <c r="O17" i="5" s="1"/>
  <c r="O18" i="5" a="1"/>
  <c r="O18" i="5" s="1"/>
  <c r="O19" i="5" a="1"/>
  <c r="O19" i="5" s="1"/>
  <c r="O20" i="5" a="1"/>
  <c r="O20" i="5" s="1"/>
  <c r="F6" i="5" a="1"/>
  <c r="F6" i="5" s="1"/>
  <c r="F7" i="5" a="1"/>
  <c r="F7" i="5" s="1"/>
  <c r="F8" i="5" a="1"/>
  <c r="F8" i="5" s="1"/>
  <c r="F9" i="5" a="1"/>
  <c r="F9" i="5" s="1"/>
  <c r="F10" i="5" a="1"/>
  <c r="F10" i="5" s="1"/>
  <c r="F11" i="5" a="1"/>
  <c r="F11" i="5" s="1"/>
  <c r="F12" i="5" a="1"/>
  <c r="F12" i="5" s="1"/>
  <c r="F13" i="5" a="1"/>
  <c r="F13" i="5" s="1"/>
  <c r="F14" i="5" a="1"/>
  <c r="F14" i="5" s="1"/>
  <c r="F15" i="5" a="1"/>
  <c r="F15" i="5" s="1"/>
  <c r="F5" i="5" a="1"/>
  <c r="F5" i="5" s="1"/>
  <c r="E6" i="5" a="1"/>
  <c r="E6" i="5" s="1"/>
  <c r="E7" i="5" a="1"/>
  <c r="E7" i="5" s="1"/>
  <c r="E8" i="5" a="1"/>
  <c r="E8" i="5" s="1"/>
  <c r="E9" i="5" a="1"/>
  <c r="E9" i="5" s="1"/>
  <c r="E10" i="5" a="1"/>
  <c r="E10" i="5" s="1"/>
  <c r="E11" i="5" a="1"/>
  <c r="E11" i="5" s="1"/>
  <c r="E12" i="5" a="1"/>
  <c r="E12" i="5" s="1"/>
  <c r="E13" i="5" a="1"/>
  <c r="E13" i="5" s="1"/>
  <c r="E14" i="5" a="1"/>
  <c r="E14" i="5" s="1"/>
  <c r="E15" i="5" a="1"/>
  <c r="E15" i="5" s="1"/>
  <c r="E5" i="5" a="1"/>
  <c r="E5" i="5" s="1"/>
  <c r="C6" i="5" a="1"/>
  <c r="C6" i="5" s="1"/>
  <c r="C7" i="5" a="1"/>
  <c r="C7" i="5" s="1"/>
  <c r="C8" i="5" a="1"/>
  <c r="C8" i="5" s="1"/>
  <c r="C9" i="5" a="1"/>
  <c r="C9" i="5" s="1"/>
  <c r="C10" i="5" a="1"/>
  <c r="C10" i="5" s="1"/>
  <c r="C11" i="5" a="1"/>
  <c r="C11" i="5" s="1"/>
  <c r="C12" i="5" a="1"/>
  <c r="C12" i="5" s="1"/>
  <c r="C13" i="5" a="1"/>
  <c r="C13" i="5" s="1"/>
  <c r="C14" i="5" a="1"/>
  <c r="C14" i="5" s="1"/>
  <c r="C15" i="5" a="1"/>
  <c r="C15" i="5" s="1"/>
  <c r="C16" i="5" a="1"/>
  <c r="C16" i="5" s="1"/>
  <c r="C17" i="5" a="1"/>
  <c r="C17" i="5" s="1"/>
  <c r="D5" i="5" a="1"/>
  <c r="D5" i="5" s="1"/>
  <c r="D6" i="5" a="1"/>
  <c r="D6" i="5" s="1"/>
  <c r="D7" i="5" a="1"/>
  <c r="D7" i="5" s="1"/>
  <c r="D8" i="5" a="1"/>
  <c r="D8" i="5" s="1"/>
  <c r="D9" i="5" a="1"/>
  <c r="D9" i="5" s="1"/>
  <c r="D10" i="5" a="1"/>
  <c r="D10" i="5" s="1"/>
  <c r="D11" i="5" a="1"/>
  <c r="D11" i="5" s="1"/>
  <c r="D12" i="5" a="1"/>
  <c r="D12" i="5" s="1"/>
  <c r="D13" i="5" a="1"/>
  <c r="D13" i="5" s="1"/>
  <c r="D14" i="5" a="1"/>
  <c r="D14" i="5" s="1"/>
  <c r="D15" i="5" a="1"/>
  <c r="D15" i="5" s="1"/>
  <c r="D16" i="5" a="1"/>
  <c r="D16" i="5" s="1"/>
  <c r="D17" i="5" a="1"/>
  <c r="D17" i="5" s="1"/>
  <c r="D18" i="5" a="1"/>
  <c r="D18" i="5" s="1"/>
  <c r="D19" i="5" a="1"/>
  <c r="D19" i="5" s="1"/>
  <c r="D20" i="5" a="1"/>
  <c r="D20" i="5" s="1"/>
  <c r="C18" i="5" a="1"/>
  <c r="C18" i="5" s="1"/>
  <c r="C19" i="5" a="1"/>
  <c r="C19" i="5" s="1"/>
  <c r="F16" i="5" a="1"/>
  <c r="F16" i="5" s="1"/>
  <c r="F17" i="5" a="1"/>
  <c r="F17" i="5" s="1"/>
  <c r="F18" i="5" a="1"/>
  <c r="F18" i="5" s="1"/>
  <c r="F19" i="5" a="1"/>
  <c r="F19" i="5" s="1"/>
  <c r="F20" i="5" a="1"/>
  <c r="F20" i="5" s="1"/>
  <c r="E16" i="5" a="1"/>
  <c r="E16" i="5" s="1"/>
  <c r="E17" i="5" a="1"/>
  <c r="E17" i="5" s="1"/>
  <c r="E18" i="5" a="1"/>
  <c r="E18" i="5" s="1"/>
  <c r="E19" i="5" a="1"/>
  <c r="E19" i="5" s="1"/>
  <c r="E20" i="5" a="1"/>
  <c r="E20" i="5" s="1"/>
  <c r="E19" i="4" l="1"/>
  <c r="E15" i="4"/>
  <c r="D4" i="4"/>
  <c r="D5" i="4"/>
  <c r="D6" i="4"/>
  <c r="D7" i="4"/>
  <c r="D8" i="4"/>
  <c r="D9" i="4"/>
  <c r="D10" i="4"/>
  <c r="D11" i="4"/>
  <c r="C4" i="4"/>
  <c r="C5" i="4"/>
  <c r="C9" i="4" l="1"/>
  <c r="C10" i="4"/>
  <c r="E10" i="4" s="1"/>
  <c r="C11" i="4"/>
  <c r="C6" i="4"/>
  <c r="C7" i="4"/>
  <c r="C8" i="4"/>
  <c r="G4" i="4"/>
  <c r="E11" i="4" l="1"/>
  <c r="E6" i="4"/>
  <c r="E7" i="4"/>
  <c r="E8" i="4"/>
  <c r="E9" i="4"/>
  <c r="E4" i="4"/>
  <c r="E8" i="1" s="1"/>
  <c r="E5" i="4"/>
  <c r="D3" i="1"/>
</calcChain>
</file>

<file path=xl/sharedStrings.xml><?xml version="1.0" encoding="utf-8"?>
<sst xmlns="http://schemas.openxmlformats.org/spreadsheetml/2006/main" count="59" uniqueCount="31">
  <si>
    <t>Entry Type:</t>
  </si>
  <si>
    <t>Last Billed:</t>
  </si>
  <si>
    <t>Bill No:</t>
  </si>
  <si>
    <t>Date:</t>
  </si>
  <si>
    <t>Item:</t>
  </si>
  <si>
    <t>mouse</t>
  </si>
  <si>
    <t>Qty:</t>
  </si>
  <si>
    <t>Rate:</t>
  </si>
  <si>
    <t>Purchase Entry</t>
  </si>
  <si>
    <t>Bill No</t>
  </si>
  <si>
    <t>Date</t>
  </si>
  <si>
    <t>Item</t>
  </si>
  <si>
    <t>Qty</t>
  </si>
  <si>
    <t>Rate</t>
  </si>
  <si>
    <t>Sale Entry</t>
  </si>
  <si>
    <t>P Qty</t>
  </si>
  <si>
    <t>S Qty</t>
  </si>
  <si>
    <t>Stock</t>
  </si>
  <si>
    <t>keyboard</t>
  </si>
  <si>
    <t>item</t>
  </si>
  <si>
    <t>monitor</t>
  </si>
  <si>
    <t>Keyboard</t>
  </si>
  <si>
    <t>Transaction History</t>
  </si>
  <si>
    <t>Purchase</t>
  </si>
  <si>
    <t>Cable</t>
  </si>
  <si>
    <t>Today_Purchasing_Details</t>
  </si>
  <si>
    <t>Previous_Purchasing Details</t>
  </si>
  <si>
    <t>CPU</t>
  </si>
  <si>
    <t>Power_cable</t>
  </si>
  <si>
    <t>USB</t>
  </si>
  <si>
    <t>Flash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</si>
</sst>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C000"/>
      <name val="Calibri"/>
      <family val="2"/>
      <scheme val="minor"/>
    </font>
    <font>
      <sz val="11"/>
      <color rgb="FF000000"/>
      <name val="Aptos Narrow"/>
      <family val="2"/>
    </font>
    <font>
      <b/>
      <sz val="20"/>
      <color rgb="FFFFC000"/>
      <name val="Aptos Narrow"/>
    </font>
    <font>
      <b/>
      <sz val="11"/>
      <color rgb="FFFFFFFF"/>
      <name val="Aptos Narrow"/>
      <family val="2"/>
    </font>
    <font>
      <sz val="11"/>
      <color rgb="FFFFC00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8"/>
      <color theme="4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7E350E"/>
        <bgColor rgb="FF000000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499984740745262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1" tint="0.34998626667073579"/>
        <bgColor indexed="64"/>
      </patternFill>
    </fill>
  </fills>
  <borders count="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41">
    <xf numFmtId="0" fontId="0" fillId="0" borderId="0" xfId="0"/>
    <xf numFmtId="0" fontId="2" fillId="2" borderId="0" xfId="0" applyFont="1" applyFill="1"/>
    <xf numFmtId="0" fontId="0" fillId="3" borderId="0" xfId="0" applyFill="1"/>
    <xf numFmtId="0" fontId="1" fillId="4" borderId="0" xfId="0" applyFont="1" applyFill="1"/>
    <xf numFmtId="0" fontId="0" fillId="4" borderId="0" xfId="0" applyFill="1"/>
    <xf numFmtId="0" fontId="3" fillId="0" borderId="1" xfId="0" applyFont="1" applyBorder="1"/>
    <xf numFmtId="14" fontId="3" fillId="0" borderId="1" xfId="0" applyNumberFormat="1" applyFont="1" applyBorder="1"/>
    <xf numFmtId="0" fontId="3" fillId="0" borderId="1" xfId="0" applyFont="1" applyBorder="1" applyAlignment="1">
      <alignment horizontal="right"/>
    </xf>
    <xf numFmtId="0" fontId="5" fillId="6" borderId="2" xfId="0" applyFont="1" applyFill="1" applyBorder="1"/>
    <xf numFmtId="0" fontId="5" fillId="6" borderId="0" xfId="0" applyFont="1" applyFill="1" applyBorder="1"/>
    <xf numFmtId="0" fontId="3" fillId="6" borderId="2" xfId="0" applyFont="1" applyFill="1" applyBorder="1"/>
    <xf numFmtId="0" fontId="6" fillId="0" borderId="0" xfId="0" applyFont="1"/>
    <xf numFmtId="0" fontId="7" fillId="0" borderId="0" xfId="0" applyFont="1" applyFill="1"/>
    <xf numFmtId="0" fontId="0" fillId="7" borderId="2" xfId="0" applyFont="1" applyFill="1" applyBorder="1"/>
    <xf numFmtId="0" fontId="3" fillId="7" borderId="2" xfId="0" applyFont="1" applyFill="1" applyBorder="1"/>
    <xf numFmtId="14" fontId="3" fillId="7" borderId="2" xfId="0" applyNumberFormat="1" applyFont="1" applyFill="1" applyBorder="1"/>
    <xf numFmtId="0" fontId="3" fillId="7" borderId="2" xfId="0" applyFont="1" applyFill="1" applyBorder="1" applyAlignment="1">
      <alignment horizontal="right"/>
    </xf>
    <xf numFmtId="0" fontId="3" fillId="8" borderId="2" xfId="0" applyFont="1" applyFill="1" applyBorder="1"/>
    <xf numFmtId="0" fontId="0" fillId="10" borderId="3" xfId="0" applyFill="1" applyBorder="1"/>
    <xf numFmtId="0" fontId="0" fillId="10" borderId="3" xfId="0" applyNumberFormat="1" applyFill="1" applyBorder="1"/>
    <xf numFmtId="0" fontId="0" fillId="10" borderId="4" xfId="0" applyFill="1" applyBorder="1"/>
    <xf numFmtId="0" fontId="0" fillId="10" borderId="4" xfId="0" applyNumberFormat="1" applyFill="1" applyBorder="1"/>
    <xf numFmtId="0" fontId="0" fillId="12" borderId="0" xfId="0" applyFill="1"/>
    <xf numFmtId="0" fontId="3" fillId="12" borderId="1" xfId="0" applyFont="1" applyFill="1" applyBorder="1" applyAlignment="1">
      <alignment horizontal="center"/>
    </xf>
    <xf numFmtId="0" fontId="3" fillId="12" borderId="0" xfId="0" applyFont="1" applyFill="1"/>
    <xf numFmtId="0" fontId="3" fillId="12" borderId="1" xfId="0" applyFont="1" applyFill="1" applyBorder="1"/>
    <xf numFmtId="14" fontId="3" fillId="12" borderId="1" xfId="0" applyNumberFormat="1" applyFont="1" applyFill="1" applyBorder="1"/>
    <xf numFmtId="0" fontId="3" fillId="12" borderId="1" xfId="0" applyFont="1" applyFill="1" applyBorder="1" applyAlignment="1">
      <alignment horizontal="right"/>
    </xf>
    <xf numFmtId="0" fontId="2" fillId="11" borderId="0" xfId="0" applyFont="1" applyFill="1" applyAlignment="1">
      <alignment horizontal="right" vertical="center"/>
    </xf>
    <xf numFmtId="0" fontId="4" fillId="5" borderId="0" xfId="0" applyFont="1" applyFill="1" applyAlignment="1">
      <alignment horizontal="center"/>
    </xf>
    <xf numFmtId="0" fontId="4" fillId="5" borderId="0" xfId="0" applyFont="1" applyFill="1" applyBorder="1" applyAlignment="1">
      <alignment horizontal="center"/>
    </xf>
    <xf numFmtId="0" fontId="8" fillId="9" borderId="0" xfId="0" applyFont="1" applyFill="1" applyAlignment="1">
      <alignment horizontal="center"/>
    </xf>
    <xf numFmtId="0" fontId="0" fillId="9" borderId="0" xfId="0" applyFill="1" applyAlignment="1">
      <alignment horizontal="center"/>
    </xf>
    <xf numFmtId="0" fontId="9" fillId="0" borderId="0" xfId="0" applyFont="1"/>
    <xf numFmtId="0" fontId="10" fillId="13" borderId="0" xfId="0" applyFont="1" applyFill="1" applyAlignment="1">
      <alignment horizontal="center"/>
    </xf>
    <xf numFmtId="0" fontId="0" fillId="13" borderId="0" xfId="0" applyFill="1" applyAlignment="1">
      <alignment horizontal="center"/>
    </xf>
    <xf numFmtId="14" fontId="0" fillId="0" borderId="0" xfId="0" applyNumberFormat="1"/>
    <xf numFmtId="14" fontId="5" fillId="6" borderId="2" xfId="0" applyNumberFormat="1" applyFont="1" applyFill="1" applyBorder="1"/>
    <xf numFmtId="14" fontId="5" fillId="6" borderId="0" xfId="0" applyNumberFormat="1" applyFont="1" applyFill="1" applyBorder="1"/>
    <xf numFmtId="14" fontId="3" fillId="8" borderId="2" xfId="0" applyNumberFormat="1" applyFont="1" applyFill="1" applyBorder="1"/>
    <xf numFmtId="14" fontId="3" fillId="12" borderId="1" xfId="0" applyNumberFormat="1" applyFont="1" applyFill="1" applyBorder="1" applyAlignment="1">
      <alignment horizontal="right"/>
    </xf>
  </cellXfs>
  <cellStyles count="1">
    <cellStyle name="Normal" xfId="0" builtinId="0"/>
  </cellStyles>
  <dxfs count="14"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rgb="FFFFC000"/>
        <name val="Calibri"/>
        <scheme val="minor"/>
      </font>
    </dxf>
  </dxfs>
  <tableStyles count="0" defaultTableStyle="TableStyleMedium2" defaultPivotStyle="PivotStyleLight16"/>
  <colors>
    <mruColors>
      <color rgb="FFA995E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Stock!A1"/><Relationship Id="rId2" Type="http://schemas.openxmlformats.org/officeDocument/2006/relationships/hyperlink" Target="#Sale!A1"/><Relationship Id="rId1" Type="http://schemas.openxmlformats.org/officeDocument/2006/relationships/hyperlink" Target="#Purchase!A1"/><Relationship Id="rId5" Type="http://schemas.openxmlformats.org/officeDocument/2006/relationships/hyperlink" Target="#Details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Sale!A1"/><Relationship Id="rId2" Type="http://schemas.openxmlformats.org/officeDocument/2006/relationships/hyperlink" Target="#Stock!A1"/><Relationship Id="rId1" Type="http://schemas.openxmlformats.org/officeDocument/2006/relationships/hyperlink" Target="#Home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Stock!A1"/><Relationship Id="rId2" Type="http://schemas.openxmlformats.org/officeDocument/2006/relationships/hyperlink" Target="#Home!A1"/><Relationship Id="rId1" Type="http://schemas.openxmlformats.org/officeDocument/2006/relationships/hyperlink" Target="#Purchase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Sale!A1"/><Relationship Id="rId2" Type="http://schemas.openxmlformats.org/officeDocument/2006/relationships/hyperlink" Target="#Home!A1"/><Relationship Id="rId1" Type="http://schemas.openxmlformats.org/officeDocument/2006/relationships/hyperlink" Target="#Purchase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581026</xdr:colOff>
      <xdr:row>9</xdr:row>
      <xdr:rowOff>76200</xdr:rowOff>
    </xdr:from>
    <xdr:to>
      <xdr:col>2</xdr:col>
      <xdr:colOff>123826</xdr:colOff>
      <xdr:row>10</xdr:row>
      <xdr:rowOff>161925</xdr:rowOff>
    </xdr:to>
    <xdr:sp macro="[0]!purchase" textlink="">
      <xdr:nvSpPr>
        <xdr:cNvPr id="2" name="Rounded Rectangle 1"/>
        <xdr:cNvSpPr/>
      </xdr:nvSpPr>
      <xdr:spPr>
        <a:xfrm>
          <a:off x="581026" y="1790700"/>
          <a:ext cx="1104900" cy="276225"/>
        </a:xfrm>
        <a:prstGeom prst="roundRect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Purchase  Entry</a:t>
          </a:r>
        </a:p>
      </xdr:txBody>
    </xdr:sp>
    <xdr:clientData/>
  </xdr:twoCellAnchor>
  <xdr:twoCellAnchor>
    <xdr:from>
      <xdr:col>3</xdr:col>
      <xdr:colOff>19049</xdr:colOff>
      <xdr:row>9</xdr:row>
      <xdr:rowOff>76200</xdr:rowOff>
    </xdr:from>
    <xdr:to>
      <xdr:col>3</xdr:col>
      <xdr:colOff>857250</xdr:colOff>
      <xdr:row>10</xdr:row>
      <xdr:rowOff>161925</xdr:rowOff>
    </xdr:to>
    <xdr:sp macro="[0]!sale" textlink="">
      <xdr:nvSpPr>
        <xdr:cNvPr id="3" name="Rounded Rectangle 2"/>
        <xdr:cNvSpPr/>
      </xdr:nvSpPr>
      <xdr:spPr>
        <a:xfrm>
          <a:off x="1733549" y="1790700"/>
          <a:ext cx="838201" cy="276225"/>
        </a:xfrm>
        <a:prstGeom prst="roundRect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Sale  Entry</a:t>
          </a:r>
        </a:p>
      </xdr:txBody>
    </xdr:sp>
    <xdr:clientData/>
  </xdr:twoCellAnchor>
  <xdr:twoCellAnchor>
    <xdr:from>
      <xdr:col>5</xdr:col>
      <xdr:colOff>206376</xdr:colOff>
      <xdr:row>1</xdr:row>
      <xdr:rowOff>6350</xdr:rowOff>
    </xdr:from>
    <xdr:to>
      <xdr:col>7</xdr:col>
      <xdr:colOff>92076</xdr:colOff>
      <xdr:row>2</xdr:row>
      <xdr:rowOff>92075</xdr:rowOff>
    </xdr:to>
    <xdr:sp macro="[0]!p" textlink="">
      <xdr:nvSpPr>
        <xdr:cNvPr id="4" name="Rounded Rectangle 3">
          <a:hlinkClick xmlns:r="http://schemas.openxmlformats.org/officeDocument/2006/relationships" r:id="rId1"/>
        </xdr:cNvPr>
        <xdr:cNvSpPr/>
      </xdr:nvSpPr>
      <xdr:spPr>
        <a:xfrm>
          <a:off x="3489326" y="196850"/>
          <a:ext cx="1104900" cy="276225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0" cap="none" spc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Purchase</a:t>
          </a:r>
        </a:p>
      </xdr:txBody>
    </xdr:sp>
    <xdr:clientData/>
  </xdr:twoCellAnchor>
  <xdr:twoCellAnchor>
    <xdr:from>
      <xdr:col>5</xdr:col>
      <xdr:colOff>206376</xdr:colOff>
      <xdr:row>3</xdr:row>
      <xdr:rowOff>9525</xdr:rowOff>
    </xdr:from>
    <xdr:to>
      <xdr:col>7</xdr:col>
      <xdr:colOff>92076</xdr:colOff>
      <xdr:row>4</xdr:row>
      <xdr:rowOff>95250</xdr:rowOff>
    </xdr:to>
    <xdr:sp macro="[0]!p" textlink="">
      <xdr:nvSpPr>
        <xdr:cNvPr id="6" name="Rounded Rectangle 5">
          <a:hlinkClick xmlns:r="http://schemas.openxmlformats.org/officeDocument/2006/relationships" r:id="rId2"/>
        </xdr:cNvPr>
        <xdr:cNvSpPr/>
      </xdr:nvSpPr>
      <xdr:spPr>
        <a:xfrm>
          <a:off x="3489326" y="581025"/>
          <a:ext cx="1104900" cy="27622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0" cap="none" spc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Sale</a:t>
          </a:r>
        </a:p>
      </xdr:txBody>
    </xdr:sp>
    <xdr:clientData/>
  </xdr:twoCellAnchor>
  <xdr:twoCellAnchor>
    <xdr:from>
      <xdr:col>5</xdr:col>
      <xdr:colOff>215901</xdr:colOff>
      <xdr:row>5</xdr:row>
      <xdr:rowOff>3175</xdr:rowOff>
    </xdr:from>
    <xdr:to>
      <xdr:col>7</xdr:col>
      <xdr:colOff>101601</xdr:colOff>
      <xdr:row>6</xdr:row>
      <xdr:rowOff>88900</xdr:rowOff>
    </xdr:to>
    <xdr:sp macro="[0]!p" textlink="">
      <xdr:nvSpPr>
        <xdr:cNvPr id="7" name="Rounded Rectangle 6">
          <a:hlinkClick xmlns:r="http://schemas.openxmlformats.org/officeDocument/2006/relationships" r:id="rId3"/>
        </xdr:cNvPr>
        <xdr:cNvSpPr/>
      </xdr:nvSpPr>
      <xdr:spPr>
        <a:xfrm>
          <a:off x="3498851" y="955675"/>
          <a:ext cx="1104900" cy="276225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Stock</a:t>
          </a:r>
        </a:p>
      </xdr:txBody>
    </xdr:sp>
    <xdr:clientData/>
  </xdr:twoCellAnchor>
  <xdr:twoCellAnchor editAs="oneCell">
    <xdr:from>
      <xdr:col>1</xdr:col>
      <xdr:colOff>69850</xdr:colOff>
      <xdr:row>0</xdr:row>
      <xdr:rowOff>19050</xdr:rowOff>
    </xdr:from>
    <xdr:to>
      <xdr:col>1</xdr:col>
      <xdr:colOff>762000</xdr:colOff>
      <xdr:row>0</xdr:row>
      <xdr:rowOff>532790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450" y="19050"/>
          <a:ext cx="692150" cy="513740"/>
        </a:xfrm>
        <a:prstGeom prst="rect">
          <a:avLst/>
        </a:prstGeom>
      </xdr:spPr>
    </xdr:pic>
    <xdr:clientData/>
  </xdr:twoCellAnchor>
  <xdr:twoCellAnchor>
    <xdr:from>
      <xdr:col>1</xdr:col>
      <xdr:colOff>495301</xdr:colOff>
      <xdr:row>11</xdr:row>
      <xdr:rowOff>79375</xdr:rowOff>
    </xdr:from>
    <xdr:to>
      <xdr:col>3</xdr:col>
      <xdr:colOff>495301</xdr:colOff>
      <xdr:row>12</xdr:row>
      <xdr:rowOff>165100</xdr:rowOff>
    </xdr:to>
    <xdr:sp macro="[0]!p" textlink="">
      <xdr:nvSpPr>
        <xdr:cNvPr id="8" name="Rounded Rectangle 7">
          <a:hlinkClick xmlns:r="http://schemas.openxmlformats.org/officeDocument/2006/relationships" r:id="rId3"/>
        </xdr:cNvPr>
        <xdr:cNvSpPr/>
      </xdr:nvSpPr>
      <xdr:spPr>
        <a:xfrm>
          <a:off x="1104901" y="2530475"/>
          <a:ext cx="1104900" cy="276225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 cap="none" spc="0">
              <a:ln w="0"/>
              <a:solidFill>
                <a:srgbClr val="FFC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Print</a:t>
          </a:r>
          <a:r>
            <a:rPr lang="en-US" sz="1100" b="1" cap="none" spc="0" baseline="0">
              <a:ln w="0"/>
              <a:solidFill>
                <a:srgbClr val="FFC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Receipt</a:t>
          </a:r>
          <a:endParaRPr lang="en-US" sz="1100" b="1" cap="none" spc="0">
            <a:ln w="0"/>
            <a:solidFill>
              <a:srgbClr val="FFC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222251</xdr:colOff>
      <xdr:row>7</xdr:row>
      <xdr:rowOff>15875</xdr:rowOff>
    </xdr:from>
    <xdr:to>
      <xdr:col>7</xdr:col>
      <xdr:colOff>107951</xdr:colOff>
      <xdr:row>8</xdr:row>
      <xdr:rowOff>101600</xdr:rowOff>
    </xdr:to>
    <xdr:sp macro="[0]!p" textlink="">
      <xdr:nvSpPr>
        <xdr:cNvPr id="9" name="Rounded Rectangle 8">
          <a:hlinkClick xmlns:r="http://schemas.openxmlformats.org/officeDocument/2006/relationships" r:id="rId5"/>
        </xdr:cNvPr>
        <xdr:cNvSpPr/>
      </xdr:nvSpPr>
      <xdr:spPr>
        <a:xfrm>
          <a:off x="3505201" y="1704975"/>
          <a:ext cx="1104900" cy="276225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 cap="none" spc="0">
              <a:ln w="0"/>
              <a:solidFill>
                <a:srgbClr val="FFC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Details</a:t>
          </a:r>
        </a:p>
        <a:p>
          <a:pPr algn="ctr"/>
          <a:endParaRPr lang="en-US" sz="1100" b="1" cap="none" spc="0">
            <a:ln w="0"/>
            <a:solidFill>
              <a:srgbClr val="FFC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9</xdr:row>
      <xdr:rowOff>0</xdr:rowOff>
    </xdr:from>
    <xdr:to>
      <xdr:col>9</xdr:col>
      <xdr:colOff>542925</xdr:colOff>
      <xdr:row>10</xdr:row>
      <xdr:rowOff>85725</xdr:rowOff>
    </xdr:to>
    <xdr:sp macro="[0]!p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5848350" y="1714500"/>
          <a:ext cx="1104900" cy="276225"/>
        </a:xfrm>
        <a:prstGeom prst="roundRect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0" cap="none" spc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0</xdr:rowOff>
    </xdr:from>
    <xdr:to>
      <xdr:col>8</xdr:col>
      <xdr:colOff>495300</xdr:colOff>
      <xdr:row>2</xdr:row>
      <xdr:rowOff>85725</xdr:rowOff>
    </xdr:to>
    <xdr:sp macro="[0]!p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4267200" y="190500"/>
          <a:ext cx="1104900" cy="276225"/>
        </a:xfrm>
        <a:prstGeom prst="roundRect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0" cap="none" spc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Home</a:t>
          </a:r>
        </a:p>
      </xdr:txBody>
    </xdr:sp>
    <xdr:clientData/>
  </xdr:twoCellAnchor>
  <xdr:twoCellAnchor>
    <xdr:from>
      <xdr:col>7</xdr:col>
      <xdr:colOff>0</xdr:colOff>
      <xdr:row>12</xdr:row>
      <xdr:rowOff>180975</xdr:rowOff>
    </xdr:from>
    <xdr:to>
      <xdr:col>8</xdr:col>
      <xdr:colOff>495300</xdr:colOff>
      <xdr:row>14</xdr:row>
      <xdr:rowOff>76200</xdr:rowOff>
    </xdr:to>
    <xdr:sp macro="[0]!p" textlink="">
      <xdr:nvSpPr>
        <xdr:cNvPr id="4" name="Rounded Rectangle 3">
          <a:hlinkClick xmlns:r="http://schemas.openxmlformats.org/officeDocument/2006/relationships" r:id="rId2"/>
        </xdr:cNvPr>
        <xdr:cNvSpPr/>
      </xdr:nvSpPr>
      <xdr:spPr>
        <a:xfrm>
          <a:off x="4267200" y="942975"/>
          <a:ext cx="1104900" cy="276225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Stock</a:t>
          </a:r>
        </a:p>
      </xdr:txBody>
    </xdr:sp>
    <xdr:clientData/>
  </xdr:twoCellAnchor>
  <xdr:twoCellAnchor>
    <xdr:from>
      <xdr:col>7</xdr:col>
      <xdr:colOff>6350</xdr:colOff>
      <xdr:row>9</xdr:row>
      <xdr:rowOff>53975</xdr:rowOff>
    </xdr:from>
    <xdr:to>
      <xdr:col>8</xdr:col>
      <xdr:colOff>501650</xdr:colOff>
      <xdr:row>10</xdr:row>
      <xdr:rowOff>139700</xdr:rowOff>
    </xdr:to>
    <xdr:sp macro="[0]!p" textlink="">
      <xdr:nvSpPr>
        <xdr:cNvPr id="5" name="Rounded Rectangle 4">
          <a:hlinkClick xmlns:r="http://schemas.openxmlformats.org/officeDocument/2006/relationships" r:id="rId3"/>
        </xdr:cNvPr>
        <xdr:cNvSpPr/>
      </xdr:nvSpPr>
      <xdr:spPr>
        <a:xfrm>
          <a:off x="4445000" y="815975"/>
          <a:ext cx="1104900" cy="27622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Sale</a:t>
          </a:r>
        </a:p>
        <a:p>
          <a:pPr algn="ctr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0</xdr:rowOff>
    </xdr:from>
    <xdr:to>
      <xdr:col>8</xdr:col>
      <xdr:colOff>495300</xdr:colOff>
      <xdr:row>2</xdr:row>
      <xdr:rowOff>85725</xdr:rowOff>
    </xdr:to>
    <xdr:sp macro="[0]!p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4267200" y="190500"/>
          <a:ext cx="1104900" cy="276225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0" cap="none" spc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Purchase</a:t>
          </a:r>
        </a:p>
      </xdr:txBody>
    </xdr:sp>
    <xdr:clientData/>
  </xdr:twoCellAnchor>
  <xdr:twoCellAnchor>
    <xdr:from>
      <xdr:col>7</xdr:col>
      <xdr:colOff>0</xdr:colOff>
      <xdr:row>6</xdr:row>
      <xdr:rowOff>177800</xdr:rowOff>
    </xdr:from>
    <xdr:to>
      <xdr:col>8</xdr:col>
      <xdr:colOff>495300</xdr:colOff>
      <xdr:row>8</xdr:row>
      <xdr:rowOff>73025</xdr:rowOff>
    </xdr:to>
    <xdr:sp macro="[0]!p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4438650" y="749300"/>
          <a:ext cx="1104900" cy="276225"/>
        </a:xfrm>
        <a:prstGeom prst="round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0" cap="none" spc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Home</a:t>
          </a:r>
        </a:p>
      </xdr:txBody>
    </xdr:sp>
    <xdr:clientData/>
  </xdr:twoCellAnchor>
  <xdr:twoCellAnchor>
    <xdr:from>
      <xdr:col>7</xdr:col>
      <xdr:colOff>0</xdr:colOff>
      <xdr:row>9</xdr:row>
      <xdr:rowOff>180975</xdr:rowOff>
    </xdr:from>
    <xdr:to>
      <xdr:col>8</xdr:col>
      <xdr:colOff>495300</xdr:colOff>
      <xdr:row>11</xdr:row>
      <xdr:rowOff>76200</xdr:rowOff>
    </xdr:to>
    <xdr:sp macro="[0]!p" textlink="">
      <xdr:nvSpPr>
        <xdr:cNvPr id="4" name="Rounded Rectangle 3">
          <a:hlinkClick xmlns:r="http://schemas.openxmlformats.org/officeDocument/2006/relationships" r:id="rId3"/>
        </xdr:cNvPr>
        <xdr:cNvSpPr/>
      </xdr:nvSpPr>
      <xdr:spPr>
        <a:xfrm>
          <a:off x="4267200" y="942975"/>
          <a:ext cx="1104900" cy="276225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Stock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65209</xdr:colOff>
      <xdr:row>15</xdr:row>
      <xdr:rowOff>52754</xdr:rowOff>
    </xdr:from>
    <xdr:to>
      <xdr:col>15</xdr:col>
      <xdr:colOff>559044</xdr:colOff>
      <xdr:row>17</xdr:row>
      <xdr:rowOff>31750</xdr:rowOff>
    </xdr:to>
    <xdr:sp macro="[0]!ref" textlink="">
      <xdr:nvSpPr>
        <xdr:cNvPr id="2" name="Rounded Rectangle 1"/>
        <xdr:cNvSpPr/>
      </xdr:nvSpPr>
      <xdr:spPr>
        <a:xfrm>
          <a:off x="8383709" y="2910254"/>
          <a:ext cx="1103435" cy="359996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Refresh</a:t>
          </a:r>
        </a:p>
      </xdr:txBody>
    </xdr:sp>
    <xdr:clientData/>
  </xdr:twoCellAnchor>
  <xdr:twoCellAnchor>
    <xdr:from>
      <xdr:col>9</xdr:col>
      <xdr:colOff>6350</xdr:colOff>
      <xdr:row>2</xdr:row>
      <xdr:rowOff>154110</xdr:rowOff>
    </xdr:from>
    <xdr:to>
      <xdr:col>10</xdr:col>
      <xdr:colOff>503115</xdr:colOff>
      <xdr:row>4</xdr:row>
      <xdr:rowOff>49335</xdr:rowOff>
    </xdr:to>
    <xdr:sp macro="[0]!p" textlink="">
      <xdr:nvSpPr>
        <xdr:cNvPr id="4" name="Rounded Rectangle 3">
          <a:hlinkClick xmlns:r="http://schemas.openxmlformats.org/officeDocument/2006/relationships" r:id="rId1"/>
        </xdr:cNvPr>
        <xdr:cNvSpPr/>
      </xdr:nvSpPr>
      <xdr:spPr>
        <a:xfrm>
          <a:off x="5276850" y="535110"/>
          <a:ext cx="1106365" cy="276225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0" cap="none" spc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Purchase</a:t>
          </a:r>
        </a:p>
      </xdr:txBody>
    </xdr:sp>
    <xdr:clientData/>
  </xdr:twoCellAnchor>
  <xdr:twoCellAnchor>
    <xdr:from>
      <xdr:col>9</xdr:col>
      <xdr:colOff>1</xdr:colOff>
      <xdr:row>0</xdr:row>
      <xdr:rowOff>178777</xdr:rowOff>
    </xdr:from>
    <xdr:to>
      <xdr:col>10</xdr:col>
      <xdr:colOff>496766</xdr:colOff>
      <xdr:row>2</xdr:row>
      <xdr:rowOff>74002</xdr:rowOff>
    </xdr:to>
    <xdr:sp macro="[0]!refresh" textlink="">
      <xdr:nvSpPr>
        <xdr:cNvPr id="5" name="Rounded Rectangle 4"/>
        <xdr:cNvSpPr/>
      </xdr:nvSpPr>
      <xdr:spPr>
        <a:xfrm>
          <a:off x="5270501" y="178777"/>
          <a:ext cx="1106365" cy="27622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0" cap="none" spc="0">
              <a:ln w="0"/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Refresh</a:t>
          </a:r>
        </a:p>
        <a:p>
          <a:pPr algn="ctr"/>
          <a:endParaRPr lang="en-US" sz="1100" b="0" cap="none" spc="0">
            <a:ln w="0"/>
            <a:solidFill>
              <a:srgbClr val="FFFF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12700</xdr:colOff>
      <xdr:row>4</xdr:row>
      <xdr:rowOff>128710</xdr:rowOff>
    </xdr:from>
    <xdr:to>
      <xdr:col>10</xdr:col>
      <xdr:colOff>509465</xdr:colOff>
      <xdr:row>6</xdr:row>
      <xdr:rowOff>23935</xdr:rowOff>
    </xdr:to>
    <xdr:sp macro="[0]!p" textlink="">
      <xdr:nvSpPr>
        <xdr:cNvPr id="6" name="Rounded Rectangle 5">
          <a:hlinkClick xmlns:r="http://schemas.openxmlformats.org/officeDocument/2006/relationships" r:id="rId2"/>
        </xdr:cNvPr>
        <xdr:cNvSpPr/>
      </xdr:nvSpPr>
      <xdr:spPr>
        <a:xfrm>
          <a:off x="5283200" y="890710"/>
          <a:ext cx="1106365" cy="276225"/>
        </a:xfrm>
        <a:prstGeom prst="roundRect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Home</a:t>
          </a:r>
        </a:p>
        <a:p>
          <a:pPr algn="ctr"/>
          <a:endParaRPr lang="en-US" sz="11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12700</xdr:colOff>
      <xdr:row>6</xdr:row>
      <xdr:rowOff>103310</xdr:rowOff>
    </xdr:from>
    <xdr:to>
      <xdr:col>10</xdr:col>
      <xdr:colOff>509465</xdr:colOff>
      <xdr:row>7</xdr:row>
      <xdr:rowOff>189035</xdr:rowOff>
    </xdr:to>
    <xdr:sp macro="[0]!p" textlink="">
      <xdr:nvSpPr>
        <xdr:cNvPr id="7" name="Rounded Rectangle 6">
          <a:hlinkClick xmlns:r="http://schemas.openxmlformats.org/officeDocument/2006/relationships" r:id="rId3"/>
        </xdr:cNvPr>
        <xdr:cNvSpPr/>
      </xdr:nvSpPr>
      <xdr:spPr>
        <a:xfrm>
          <a:off x="5283200" y="1246310"/>
          <a:ext cx="1106365" cy="27622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Sale</a:t>
          </a:r>
        </a:p>
        <a:p>
          <a:pPr algn="ctr"/>
          <a:endParaRPr lang="en-US" sz="11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2" name="Table2" displayName="Table2" ref="C4:F20" totalsRowShown="0">
  <autoFilter ref="C4:F20"/>
  <tableColumns count="4">
    <tableColumn id="1" name="Date" dataDxfId="5">
      <calculatedColumnFormula array="1">IFERROR(INDEX(Purchase!$C$6:$C$18,SMALL(IF(Purchase!$C$6:$C$18&lt;TODAY(),ROW(Purchase!$C$6:$C$18)-ROW(Purchase!$C$9)+1), ROWS($C$5:C5))),"")</calculatedColumnFormula>
    </tableColumn>
    <tableColumn id="2" name="Item" dataDxfId="4">
      <calculatedColumnFormula array="1">IFERROR(INDEX(Purchase!$D$6:$D$18,SMALL(IF(Purchase!$C$6:$C$18&lt;TODAY(),ROW(Purchase!$C$6:$C$18)-ROW(Purchase!$C$6)+1), ROWS($C$5:C5))),"")</calculatedColumnFormula>
    </tableColumn>
    <tableColumn id="3" name="Qty" dataDxfId="7">
      <calculatedColumnFormula array="1">IFERROR(INDEX(Purchase!$E$9:$E$18,SMALL(IF(Purchase!$C$9:$C$18&lt;TODAY(),ROW(Purchase!$C$9:$C$18)-ROW(Purchase!$C$9)+1), ROWS($C$5:C5))),"")</calculatedColumnFormula>
    </tableColumn>
    <tableColumn id="4" name="Rate" dataDxfId="6">
      <calculatedColumnFormula array="1">IFERROR(INDEX(Purchase!$F$9:$F$18,SMALL(IF(Purchase!$C$9:$C$18&lt;TODAY(),ROW(Purchase!$C$9:$C$18)-ROW(Purchase!$C$9)+1), ROWS($C$5:C5))),"")</calculatedColumnFormula>
    </tableColumn>
  </tableColumns>
  <tableStyleInfo name="TableStyleMedium1" showFirstColumn="0" showLastColumn="0" showRowStripes="0" showColumnStripes="0"/>
</table>
</file>

<file path=xl/tables/table2.xml><?xml version="1.0" encoding="utf-8"?>
<table xmlns="http://schemas.openxmlformats.org/spreadsheetml/2006/main" id="3" name="Table24" displayName="Table24" ref="M4:P20" totalsRowShown="0">
  <autoFilter ref="M4:P20"/>
  <tableColumns count="4">
    <tableColumn id="1" name="Date" dataDxfId="3">
      <calculatedColumnFormula array="1">IFERROR(INDEX(Purchase!$C$6:$C$18,SMALL(IF(Purchase!$C$6:$C$18=TODAY(),ROW(Purchase!$C$6:$C$18)-ROW(Purchase!$C$6)+1), ROWS($M$5:M5))),"")</calculatedColumnFormula>
    </tableColumn>
    <tableColumn id="2" name="Item" dataDxfId="2">
      <calculatedColumnFormula array="1">IFERROR(INDEX(Purchase!$D$6:$D$18,SMALL(IF(Purchase!$C$6:$C$18=TODAY(),ROW(Purchase!$C$6:$C$18)-ROW(Purchase!$C$6)+1), ROWS($M$5:M5))),"")</calculatedColumnFormula>
    </tableColumn>
    <tableColumn id="3" name="Qty" dataDxfId="1">
      <calculatedColumnFormula array="1">IFERROR(INDEX(Purchase!$E$6:$E$18,SMALL(IF(Purchase!$C$6:$C$18=TODAY(),ROW(Purchase!$C$6:$C$18)-ROW(Purchase!$C$6)+1), ROWS($M$5:M5))),"")</calculatedColumnFormula>
    </tableColumn>
    <tableColumn id="4" name="Rate" dataDxfId="0">
      <calculatedColumnFormula array="1">IFERROR(INDEX(Purchase!$F$6:$F$18,SMALL(IF(Purchase!$C$6:$C$18=TODAY(),ROW(Purchase!$C$6:$C$18)-ROW(Purchase!$C$6)+1), ROWS($M$5:M5))),"")</calculatedColumnFormula>
    </tableColumn>
  </tableColumns>
  <tableStyleInfo name="TableStyleMedium1" showFirstColumn="0" showLastColumn="0" showRowStripes="0" showColumnStripes="0"/>
</table>
</file>

<file path=xl/tables/table3.xml><?xml version="1.0" encoding="utf-8"?>
<table xmlns="http://schemas.openxmlformats.org/spreadsheetml/2006/main" id="1" name="Table1" displayName="Table1" ref="B3:E22" totalsRowShown="0" headerRowDxfId="13" dataDxfId="12">
  <tableColumns count="4">
    <tableColumn id="1" name="Item" dataDxfId="11"/>
    <tableColumn id="2" name="P Qty" dataDxfId="10">
      <calculatedColumnFormula>SUMIF(Purchase!D3:D18,Table1[[#This Row],[Item]],Purchase!E3:E18)</calculatedColumnFormula>
    </tableColumn>
    <tableColumn id="3" name="S Qty" dataDxfId="9">
      <calculatedColumnFormula>SUMIF(Sale!D3:D12,Table1[[#This Row],[Item]],Sale!E3:E12)</calculatedColumnFormula>
    </tableColumn>
    <tableColumn id="4" name="Stock" dataDxfId="8">
      <calculatedColumnFormula>Table1[[#This Row],[P Qty]]-Table1[[#This Row],[S Qty]]</calculatedColumnFormula>
    </tableColumn>
  </tableColumns>
  <tableStyleInfo name="TableStyleMedium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E12"/>
  <sheetViews>
    <sheetView zoomScale="150" zoomScaleNormal="150" workbookViewId="0">
      <selection activeCell="D2" sqref="D2"/>
    </sheetView>
  </sheetViews>
  <sheetFormatPr defaultRowHeight="15"/>
  <cols>
    <col min="2" max="2" width="14.28515625" customWidth="1"/>
    <col min="3" max="3" width="2.28515625" customWidth="1"/>
    <col min="4" max="4" width="13.28515625" customWidth="1"/>
    <col min="5" max="5" width="10.140625" customWidth="1"/>
  </cols>
  <sheetData>
    <row r="1" spans="2:5" ht="42.75" customHeight="1">
      <c r="B1" s="28" t="s">
        <v>22</v>
      </c>
      <c r="C1" s="28"/>
      <c r="D1" s="28"/>
    </row>
    <row r="2" spans="2:5">
      <c r="B2" s="1" t="s">
        <v>0</v>
      </c>
      <c r="C2" s="2"/>
      <c r="D2" s="1" t="s">
        <v>23</v>
      </c>
    </row>
    <row r="3" spans="2:5">
      <c r="B3" s="3" t="s">
        <v>1</v>
      </c>
      <c r="C3" s="2"/>
      <c r="D3" s="4">
        <f>IF(D2="Purchase",MAX(Purchase!B3:B18),MAX(Sale!B3:B12))</f>
        <v>9</v>
      </c>
    </row>
    <row r="4" spans="2:5">
      <c r="B4" s="22"/>
      <c r="C4" s="22"/>
      <c r="D4" s="22"/>
    </row>
    <row r="5" spans="2:5">
      <c r="B5" s="23" t="s">
        <v>2</v>
      </c>
      <c r="C5" s="24"/>
      <c r="D5" s="25"/>
    </row>
    <row r="6" spans="2:5">
      <c r="B6" s="23" t="s">
        <v>3</v>
      </c>
      <c r="C6" s="24"/>
      <c r="D6" s="26"/>
    </row>
    <row r="7" spans="2:5">
      <c r="B7" s="23" t="s">
        <v>4</v>
      </c>
      <c r="C7" s="24"/>
      <c r="D7" s="40"/>
    </row>
    <row r="8" spans="2:5">
      <c r="B8" s="23" t="s">
        <v>6</v>
      </c>
      <c r="C8" s="24"/>
      <c r="D8" s="25"/>
      <c r="E8" s="12" t="str">
        <f>IFERROR(IF(D2="Sale",IF(VLOOKUP(D7,Table1[#All],4,0)&lt;D8,"Stock Not Available",""),""),"")</f>
        <v/>
      </c>
    </row>
    <row r="9" spans="2:5">
      <c r="B9" s="23" t="s">
        <v>7</v>
      </c>
      <c r="C9" s="24"/>
      <c r="D9" s="25"/>
    </row>
    <row r="12" spans="2:5">
      <c r="E12" s="33"/>
    </row>
  </sheetData>
  <mergeCells count="1">
    <mergeCell ref="B1:D1"/>
  </mergeCells>
  <dataValidations count="1">
    <dataValidation type="list" allowBlank="1" showInputMessage="1" showErrorMessage="1" sqref="D2">
      <formula1>"Purchase,Sale"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C2:P20"/>
  <sheetViews>
    <sheetView workbookViewId="0">
      <selection activeCell="N10" sqref="N10"/>
    </sheetView>
  </sheetViews>
  <sheetFormatPr defaultRowHeight="15"/>
  <cols>
    <col min="3" max="3" width="12.85546875" style="36" customWidth="1"/>
    <col min="4" max="4" width="12.7109375" customWidth="1"/>
    <col min="5" max="6" width="12.42578125" customWidth="1"/>
    <col min="13" max="13" width="14.7109375" style="36" customWidth="1"/>
    <col min="14" max="14" width="12.5703125" customWidth="1"/>
    <col min="15" max="15" width="12.28515625" customWidth="1"/>
    <col min="16" max="16" width="12.5703125" customWidth="1"/>
  </cols>
  <sheetData>
    <row r="2" spans="3:16">
      <c r="C2" s="34" t="s">
        <v>26</v>
      </c>
      <c r="D2" s="35"/>
      <c r="E2" s="35"/>
      <c r="F2" s="35"/>
      <c r="M2" s="34" t="s">
        <v>25</v>
      </c>
      <c r="N2" s="35"/>
      <c r="O2" s="35"/>
      <c r="P2" s="35"/>
    </row>
    <row r="3" spans="3:16">
      <c r="C3" s="35"/>
      <c r="D3" s="35"/>
      <c r="E3" s="35"/>
      <c r="F3" s="35"/>
      <c r="M3" s="35"/>
      <c r="N3" s="35"/>
      <c r="O3" s="35"/>
      <c r="P3" s="35"/>
    </row>
    <row r="4" spans="3:16">
      <c r="C4" s="36" t="s">
        <v>10</v>
      </c>
      <c r="D4" t="s">
        <v>11</v>
      </c>
      <c r="E4" t="s">
        <v>12</v>
      </c>
      <c r="F4" t="s">
        <v>13</v>
      </c>
      <c r="M4" s="36" t="s">
        <v>10</v>
      </c>
      <c r="N4" t="s">
        <v>11</v>
      </c>
      <c r="O4" t="s">
        <v>12</v>
      </c>
      <c r="P4" t="s">
        <v>13</v>
      </c>
    </row>
    <row r="5" spans="3:16">
      <c r="C5" s="36">
        <f t="array" aca="1" ref="C5" ca="1">IFERROR(INDEX(Purchase!$C$5:$C$17,SMALL(IF(Purchase!$C$5:$C$17&lt;TODAY(),ROW(Purchase!$C$5:$C$17)-ROW(Purchase!$C$5)+1), ROWS($C$5:C5))),"")</f>
        <v>45889</v>
      </c>
      <c r="D5" t="str">
        <f t="array" aca="1" ref="D5" ca="1">IFERROR(INDEX(Purchase!$D$6:$D$18,SMALL(IF(Purchase!$C$6:$C$18&lt;TODAY(),ROW(Purchase!$C$6:$C$18)-ROW(Purchase!$C$6)+1), ROWS($C$5:C5))),"")</f>
        <v>USB</v>
      </c>
      <c r="E5">
        <f t="array" aca="1" ref="E5" ca="1">IFERROR(INDEX(Purchase!$E$6:$E$18,SMALL(IF(Purchase!$C$6:$C$18&lt;TODAY(),ROW(Purchase!$C$6:$C$18)-ROW(Purchase!$C$6)+1), ROWS($C$5:C5))),"")</f>
        <v>45</v>
      </c>
      <c r="F5">
        <f t="array" aca="1" ref="F5" ca="1">IFERROR(INDEX(Purchase!$F$6:$F$18,SMALL(IF(Purchase!$C$6:$C$18&lt;TODAY(),ROW(Purchase!$C$6:$C$18)-ROW(Purchase!$C$6)+1), ROWS($C$5:C5))),"")</f>
        <v>2250</v>
      </c>
      <c r="M5" s="36">
        <f t="array" aca="1" ref="M5" ca="1">IFERROR(INDEX(Purchase!$C$6:$C$18,SMALL(IF(Purchase!$C$6:$C$18=TODAY(),ROW(Purchase!$C$6:$C$18)-ROW(Purchase!$C$6)+1), ROWS($M$5:M5))),"")</f>
        <v>45892</v>
      </c>
      <c r="N5" t="str">
        <f t="array" aca="1" ref="N5" ca="1">IFERROR(INDEX(Purchase!$D$6:$D$18,SMALL(IF(Purchase!$C$6:$C$18=TODAY(),ROW(Purchase!$C$6:$C$18)-ROW(Purchase!$C$6)+1), ROWS($M$5:M5))),"")</f>
        <v>Power_cable</v>
      </c>
      <c r="O5">
        <f t="array" aca="1" ref="O5" ca="1">IFERROR(INDEX(Purchase!$E$6:$E$18,SMALL(IF(Purchase!$C$6:$C$18=TODAY(),ROW(Purchase!$C$6:$C$18)-ROW(Purchase!$C$6)+1), ROWS($M$5:M5))),"")</f>
        <v>12</v>
      </c>
      <c r="P5">
        <f t="array" aca="1" ref="P5" ca="1">IFERROR(INDEX(Purchase!$F$6:$F$18,SMALL(IF(Purchase!$C$6:$C$18=TODAY(),ROW(Purchase!$C$6:$C$18)-ROW(Purchase!$C$6)+1), ROWS($M$5:M5))),"")</f>
        <v>1320</v>
      </c>
    </row>
    <row r="6" spans="3:16">
      <c r="C6" s="36">
        <f t="array" aca="1" ref="C6" ca="1">IFERROR(INDEX(Purchase!$C$6:$C$18,SMALL(IF(Purchase!$C$6:$C$18&lt;TODAY(),ROW(Purchase!$C$6:$C$18)-ROW(Purchase!$C$6)+1), ROWS($C$5:C6))),"")</f>
        <v>45659</v>
      </c>
      <c r="D6" t="str">
        <f t="array" aca="1" ref="D6" ca="1">IFERROR(INDEX(Purchase!$D$6:$D$18,SMALL(IF(Purchase!$C$6:$C$18&lt;TODAY(),ROW(Purchase!$C$6:$C$18)-ROW(Purchase!$C$6)+1), ROWS($C$5:C6))),"")</f>
        <v>Cable</v>
      </c>
      <c r="E6">
        <f t="array" aca="1" ref="E6" ca="1">IFERROR(INDEX(Purchase!$E$6:$E$18,SMALL(IF(Purchase!$C$6:$C$18&lt;TODAY(),ROW(Purchase!$C$6:$C$18)-ROW(Purchase!$C$6)+1), ROWS($C$5:C6))),"")</f>
        <v>12</v>
      </c>
      <c r="F6">
        <f t="array" aca="1" ref="F6" ca="1">IFERROR(INDEX(Purchase!$F$6:$F$18,SMALL(IF(Purchase!$C$6:$C$18&lt;TODAY(),ROW(Purchase!$C$6:$C$18)-ROW(Purchase!$C$6)+1), ROWS($C$5:C6))),"")</f>
        <v>420</v>
      </c>
      <c r="M6" s="36">
        <f t="array" aca="1" ref="M6" ca="1">IFERROR(INDEX(Purchase!$C$6:$C$18,SMALL(IF(Purchase!$C$6:$C$18=TODAY(),ROW(Purchase!$C$6:$C$18)-ROW(Purchase!$C$6)+1), ROWS($M$5:M6))),"")</f>
        <v>45892</v>
      </c>
      <c r="N6" t="str">
        <f t="array" aca="1" ref="N6" ca="1">IFERROR(INDEX(Purchase!$D$6:$D$18,SMALL(IF(Purchase!$C$6:$C$18=TODAY(),ROW(Purchase!$C$6:$C$18)-ROW(Purchase!$C$6)+1), ROWS($M$5:M6))),"")</f>
        <v>CPU</v>
      </c>
      <c r="O6">
        <f t="array" aca="1" ref="O6" ca="1">IFERROR(INDEX(Purchase!$E$6:$E$18,SMALL(IF(Purchase!$C$6:$C$18=TODAY(),ROW(Purchase!$C$6:$C$18)-ROW(Purchase!$C$6)+1), ROWS($M$5:M6))),"")</f>
        <v>15</v>
      </c>
      <c r="P6">
        <f t="array" aca="1" ref="P6" ca="1">IFERROR(INDEX(Purchase!$F$6:$F$18,SMALL(IF(Purchase!$C$6:$C$18=TODAY(),ROW(Purchase!$C$6:$C$18)-ROW(Purchase!$C$6)+1), ROWS($M$5:M6))),"")</f>
        <v>1500</v>
      </c>
    </row>
    <row r="7" spans="3:16">
      <c r="C7" s="36">
        <f t="array" aca="1" ref="C7" ca="1">IFERROR(INDEX(Purchase!$C$6:$C$18,SMALL(IF(Purchase!$C$6:$C$18&lt;TODAY(),ROW(Purchase!$C$6:$C$18)-ROW(Purchase!$C$6)+1), ROWS($C$5:C7))),"")</f>
        <v>45659</v>
      </c>
      <c r="D7" t="str">
        <f t="array" aca="1" ref="D7" ca="1">IFERROR(INDEX(Purchase!$D$6:$D$18,SMALL(IF(Purchase!$C$6:$C$18&lt;TODAY(),ROW(Purchase!$C$6:$C$18)-ROW(Purchase!$C$6)+1), ROWS($C$5:C7))),"")</f>
        <v>monitor</v>
      </c>
      <c r="E7">
        <f t="array" aca="1" ref="E7" ca="1">IFERROR(INDEX(Purchase!$E$6:$E$18,SMALL(IF(Purchase!$C$6:$C$18&lt;TODAY(),ROW(Purchase!$C$6:$C$18)-ROW(Purchase!$C$6)+1), ROWS($C$5:C7))),"")</f>
        <v>12</v>
      </c>
      <c r="F7">
        <f t="array" aca="1" ref="F7" ca="1">IFERROR(INDEX(Purchase!$F$6:$F$18,SMALL(IF(Purchase!$C$6:$C$18&lt;TODAY(),ROW(Purchase!$C$6:$C$18)-ROW(Purchase!$C$6)+1), ROWS($C$5:C7))),"")</f>
        <v>720</v>
      </c>
      <c r="M7" s="36" t="str">
        <f t="array" aca="1" ref="M7" ca="1">IFERROR(INDEX(Purchase!$C$6:$C$18,SMALL(IF(Purchase!$C$6:$C$18=TODAY(),ROW(Purchase!$C$6:$C$18)-ROW(Purchase!$C$6)+1), ROWS($M$5:M7))),"")</f>
        <v/>
      </c>
      <c r="N7" t="str">
        <f t="array" aca="1" ref="N7" ca="1">IFERROR(INDEX(Purchase!$D$6:$D$18,SMALL(IF(Purchase!$C$6:$C$18=TODAY(),ROW(Purchase!$C$6:$C$18)-ROW(Purchase!$C$6)+1), ROWS($M$5:M7))),"")</f>
        <v/>
      </c>
      <c r="O7" t="str">
        <f t="array" aca="1" ref="O7" ca="1">IFERROR(INDEX(Purchase!$E$6:$E$18,SMALL(IF(Purchase!$C$6:$C$18=TODAY(),ROW(Purchase!$C$6:$C$18)-ROW(Purchase!$C$6)+1), ROWS($M$5:M7))),"")</f>
        <v/>
      </c>
      <c r="P7" t="str">
        <f t="array" aca="1" ref="P7" ca="1">IFERROR(INDEX(Purchase!$F$6:$F$18,SMALL(IF(Purchase!$C$6:$C$18=TODAY(),ROW(Purchase!$C$6:$C$18)-ROW(Purchase!$C$6)+1), ROWS($M$5:M7))),"")</f>
        <v/>
      </c>
    </row>
    <row r="8" spans="3:16">
      <c r="C8" s="36">
        <f t="array" aca="1" ref="C8" ca="1">IFERROR(INDEX(Purchase!$C$6:$C$18,SMALL(IF(Purchase!$C$6:$C$18&lt;TODAY(),ROW(Purchase!$C$6:$C$18)-ROW(Purchase!$C$6)+1), ROWS($C$5:C8))),"")</f>
        <v>45659</v>
      </c>
      <c r="D8" t="str">
        <f t="array" aca="1" ref="D8" ca="1">IFERROR(INDEX(Purchase!$D$6:$D$18,SMALL(IF(Purchase!$C$6:$C$18&lt;TODAY(),ROW(Purchase!$C$6:$C$18)-ROW(Purchase!$C$6)+1), ROWS($C$5:C8))),"")</f>
        <v>mouse</v>
      </c>
      <c r="E8">
        <f t="array" aca="1" ref="E8" ca="1">IFERROR(INDEX(Purchase!$E$6:$E$18,SMALL(IF(Purchase!$C$6:$C$18&lt;TODAY(),ROW(Purchase!$C$6:$C$18)-ROW(Purchase!$C$6)+1), ROWS($C$5:C8))),"")</f>
        <v>15</v>
      </c>
      <c r="F8">
        <f t="array" aca="1" ref="F8" ca="1">IFERROR(INDEX(Purchase!$F$6:$F$18,SMALL(IF(Purchase!$C$6:$C$18&lt;TODAY(),ROW(Purchase!$C$6:$C$18)-ROW(Purchase!$C$6)+1), ROWS($C$5:C8))),"")</f>
        <v>520</v>
      </c>
      <c r="M8" s="36" t="str">
        <f t="array" aca="1" ref="M8" ca="1">IFERROR(INDEX(Purchase!$C$6:$C$18,SMALL(IF(Purchase!$C$6:$C$18=TODAY(),ROW(Purchase!$C$6:$C$18)-ROW(Purchase!$C$6)+1), ROWS($M$5:M8))),"")</f>
        <v/>
      </c>
      <c r="N8" t="str">
        <f t="array" aca="1" ref="N8" ca="1">IFERROR(INDEX(Purchase!$D$6:$D$18,SMALL(IF(Purchase!$C$6:$C$18=TODAY(),ROW(Purchase!$C$6:$C$18)-ROW(Purchase!$C$6)+1), ROWS($M$5:M8))),"")</f>
        <v/>
      </c>
      <c r="O8" t="str">
        <f t="array" aca="1" ref="O8" ca="1">IFERROR(INDEX(Purchase!$E$6:$E$18,SMALL(IF(Purchase!$C$6:$C$18=TODAY(),ROW(Purchase!$C$6:$C$18)-ROW(Purchase!$C$6)+1), ROWS($M$5:M8))),"")</f>
        <v/>
      </c>
      <c r="P8" t="str">
        <f t="array" aca="1" ref="P8" ca="1">IFERROR(INDEX(Purchase!$F$6:$F$18,SMALL(IF(Purchase!$C$6:$C$18=TODAY(),ROW(Purchase!$C$6:$C$18)-ROW(Purchase!$C$6)+1), ROWS($M$5:M8))),"")</f>
        <v/>
      </c>
    </row>
    <row r="9" spans="3:16">
      <c r="C9" s="36">
        <f t="array" aca="1" ref="C9" ca="1">IFERROR(INDEX(Purchase!$C$6:$C$18,SMALL(IF(Purchase!$C$6:$C$18&lt;TODAY(),ROW(Purchase!$C$6:$C$18)-ROW(Purchase!$C$6)+1), ROWS($C$5:C9))),"")</f>
        <v>45659</v>
      </c>
      <c r="D9" t="str">
        <f t="array" aca="1" ref="D9" ca="1">IFERROR(INDEX(Purchase!$D$6:$D$18,SMALL(IF(Purchase!$C$6:$C$18&lt;TODAY(),ROW(Purchase!$C$6:$C$18)-ROW(Purchase!$C$6)+1), ROWS($C$5:C9))),"")</f>
        <v>Keyboard</v>
      </c>
      <c r="E9">
        <f t="array" aca="1" ref="E9" ca="1">IFERROR(INDEX(Purchase!$E$6:$E$18,SMALL(IF(Purchase!$C$6:$C$18&lt;TODAY(),ROW(Purchase!$C$6:$C$18)-ROW(Purchase!$C$6)+1), ROWS($C$5:C9))),"")</f>
        <v>25</v>
      </c>
      <c r="F9">
        <f t="array" aca="1" ref="F9" ca="1">IFERROR(INDEX(Purchase!$F$6:$F$18,SMALL(IF(Purchase!$C$6:$C$18&lt;TODAY(),ROW(Purchase!$C$6:$C$18)-ROW(Purchase!$C$6)+1), ROWS($C$5:C9))),"")</f>
        <v>1250</v>
      </c>
      <c r="M9" s="36" t="str">
        <f t="array" aca="1" ref="M9" ca="1">IFERROR(INDEX(Purchase!$C$6:$C$18,SMALL(IF(Purchase!$C$6:$C$18=TODAY(),ROW(Purchase!$C$6:$C$18)-ROW(Purchase!$C$6)+1), ROWS($M$5:M9))),"")</f>
        <v/>
      </c>
      <c r="N9" t="str">
        <f t="array" aca="1" ref="N9" ca="1">IFERROR(INDEX(Purchase!$D$6:$D$18,SMALL(IF(Purchase!$C$6:$C$18=TODAY(),ROW(Purchase!$C$6:$C$18)-ROW(Purchase!$C$6)+1), ROWS($M$5:M9))),"")</f>
        <v/>
      </c>
      <c r="O9" t="str">
        <f t="array" aca="1" ref="O9" ca="1">IFERROR(INDEX(Purchase!$E$6:$E$18,SMALL(IF(Purchase!$C$6:$C$18=TODAY(),ROW(Purchase!$C$6:$C$18)-ROW(Purchase!$C$6)+1), ROWS($M$5:M9))),"")</f>
        <v/>
      </c>
      <c r="P9" t="str">
        <f t="array" aca="1" ref="P9" ca="1">IFERROR(INDEX(Purchase!$F$6:$F$18,SMALL(IF(Purchase!$C$6:$C$18=TODAY(),ROW(Purchase!$C$6:$C$18)-ROW(Purchase!$C$6)+1), ROWS($M$5:M9))),"")</f>
        <v/>
      </c>
    </row>
    <row r="10" spans="3:16">
      <c r="C10" s="36">
        <f t="array" aca="1" ref="C10" ca="1">IFERROR(INDEX(Purchase!$C$6:$C$18,SMALL(IF(Purchase!$C$6:$C$18&lt;TODAY(),ROW(Purchase!$C$6:$C$18)-ROW(Purchase!$C$6)+1), ROWS($C$5:C10))),"")</f>
        <v>45659</v>
      </c>
      <c r="D10" t="str">
        <f t="array" aca="1" ref="D10" ca="1">IFERROR(INDEX(Purchase!$D$6:$D$18,SMALL(IF(Purchase!$C$6:$C$18&lt;TODAY(),ROW(Purchase!$C$6:$C$18)-ROW(Purchase!$C$6)+1), ROWS($C$5:C10))),"")</f>
        <v>mouse</v>
      </c>
      <c r="E10">
        <f t="array" aca="1" ref="E10" ca="1">IFERROR(INDEX(Purchase!$E$6:$E$18,SMALL(IF(Purchase!$C$6:$C$18&lt;TODAY(),ROW(Purchase!$C$6:$C$18)-ROW(Purchase!$C$6)+1), ROWS($C$5:C10))),"")</f>
        <v>10</v>
      </c>
      <c r="F10">
        <f t="array" aca="1" ref="F10" ca="1">IFERROR(INDEX(Purchase!$F$6:$F$18,SMALL(IF(Purchase!$C$6:$C$18&lt;TODAY(),ROW(Purchase!$C$6:$C$18)-ROW(Purchase!$C$6)+1), ROWS($C$5:C10))),"")</f>
        <v>150</v>
      </c>
      <c r="M10" s="36" t="str">
        <f t="array" aca="1" ref="M10" ca="1">IFERROR(INDEX(Purchase!$C$6:$C$18,SMALL(IF(Purchase!$C$6:$C$18=TODAY(),ROW(Purchase!$C$6:$C$18)-ROW(Purchase!$C$6)+1), ROWS($M$5:M10))),"")</f>
        <v/>
      </c>
      <c r="N10" t="str">
        <f t="array" aca="1" ref="N10" ca="1">IFERROR(INDEX(Purchase!$D$6:$D$18,SMALL(IF(Purchase!$C$6:$C$18=TODAY(),ROW(Purchase!$C$6:$C$18)-ROW(Purchase!$C$6)+1), ROWS($M$5:M10))),"")</f>
        <v/>
      </c>
      <c r="O10" t="str">
        <f t="array" aca="1" ref="O10" ca="1">IFERROR(INDEX(Purchase!$E$6:$E$18,SMALL(IF(Purchase!$C$6:$C$18=TODAY(),ROW(Purchase!$C$6:$C$18)-ROW(Purchase!$C$6)+1), ROWS($M$5:M10))),"")</f>
        <v/>
      </c>
      <c r="P10" t="str">
        <f t="array" aca="1" ref="P10" ca="1">IFERROR(INDEX(Purchase!$F$6:$F$18,SMALL(IF(Purchase!$C$6:$C$18=TODAY(),ROW(Purchase!$C$6:$C$18)-ROW(Purchase!$C$6)+1), ROWS($M$5:M10))),"")</f>
        <v/>
      </c>
    </row>
    <row r="11" spans="3:16">
      <c r="C11" s="36">
        <f t="array" aca="1" ref="C11" ca="1">IFERROR(INDEX(Purchase!$C$6:$C$18,SMALL(IF(Purchase!$C$6:$C$18&lt;TODAY(),ROW(Purchase!$C$6:$C$18)-ROW(Purchase!$C$6)+1), ROWS($C$5:C11))),"")</f>
        <v>0</v>
      </c>
      <c r="D11">
        <f t="array" aca="1" ref="D11" ca="1">IFERROR(INDEX(Purchase!$D$6:$D$18,SMALL(IF(Purchase!$C$6:$C$18&lt;TODAY(),ROW(Purchase!$C$6:$C$18)-ROW(Purchase!$C$6)+1), ROWS($C$5:C11))),"")</f>
        <v>0</v>
      </c>
      <c r="E11">
        <f t="array" aca="1" ref="E11" ca="1">IFERROR(INDEX(Purchase!$E$6:$E$18,SMALL(IF(Purchase!$C$6:$C$18&lt;TODAY(),ROW(Purchase!$C$6:$C$18)-ROW(Purchase!$C$6)+1), ROWS($C$5:C11))),"")</f>
        <v>0</v>
      </c>
      <c r="F11">
        <f t="array" aca="1" ref="F11" ca="1">IFERROR(INDEX(Purchase!$F$6:$F$18,SMALL(IF(Purchase!$C$6:$C$18&lt;TODAY(),ROW(Purchase!$C$6:$C$18)-ROW(Purchase!$C$6)+1), ROWS($C$5:C11))),"")</f>
        <v>0</v>
      </c>
      <c r="M11" s="36" t="str">
        <f t="array" aca="1" ref="M11" ca="1">IFERROR(INDEX(Purchase!$C$6:$C$18,SMALL(IF(Purchase!$C$6:$C$18=TODAY(),ROW(Purchase!$C$6:$C$18)-ROW(Purchase!$C$6)+1), ROWS($M$5:M11))),"")</f>
        <v/>
      </c>
      <c r="N11" t="str">
        <f t="array" aca="1" ref="N11" ca="1">IFERROR(INDEX(Purchase!$D$6:$D$18,SMALL(IF(Purchase!$C$6:$C$18=TODAY(),ROW(Purchase!$C$6:$C$18)-ROW(Purchase!$C$6)+1), ROWS($M$5:M11))),"")</f>
        <v/>
      </c>
      <c r="O11" t="str">
        <f t="array" aca="1" ref="O11" ca="1">IFERROR(INDEX(Purchase!$E$6:$E$18,SMALL(IF(Purchase!$C$6:$C$18=TODAY(),ROW(Purchase!$C$6:$C$18)-ROW(Purchase!$C$6)+1), ROWS($M$5:M11))),"")</f>
        <v/>
      </c>
      <c r="P11" t="str">
        <f t="array" aca="1" ref="P11" ca="1">IFERROR(INDEX(Purchase!$F$6:$F$18,SMALL(IF(Purchase!$C$6:$C$18=TODAY(),ROW(Purchase!$C$6:$C$18)-ROW(Purchase!$C$6)+1), ROWS($M$5:M11))),"")</f>
        <v/>
      </c>
    </row>
    <row r="12" spans="3:16">
      <c r="C12" s="36">
        <f t="array" aca="1" ref="C12" ca="1">IFERROR(INDEX(Purchase!$C$6:$C$18,SMALL(IF(Purchase!$C$6:$C$18&lt;TODAY(),ROW(Purchase!$C$6:$C$18)-ROW(Purchase!$C$6)+1), ROWS($C$5:C12))),"")</f>
        <v>0</v>
      </c>
      <c r="D12">
        <f t="array" aca="1" ref="D12" ca="1">IFERROR(INDEX(Purchase!$D$6:$D$18,SMALL(IF(Purchase!$C$6:$C$18&lt;TODAY(),ROW(Purchase!$C$6:$C$18)-ROW(Purchase!$C$6)+1), ROWS($C$5:C12))),"")</f>
        <v>0</v>
      </c>
      <c r="E12">
        <f t="array" aca="1" ref="E12" ca="1">IFERROR(INDEX(Purchase!$E$6:$E$18,SMALL(IF(Purchase!$C$6:$C$18&lt;TODAY(),ROW(Purchase!$C$6:$C$18)-ROW(Purchase!$C$6)+1), ROWS($C$5:C12))),"")</f>
        <v>0</v>
      </c>
      <c r="F12">
        <f t="array" aca="1" ref="F12" ca="1">IFERROR(INDEX(Purchase!$F$6:$F$18,SMALL(IF(Purchase!$C$6:$C$18&lt;TODAY(),ROW(Purchase!$C$6:$C$18)-ROW(Purchase!$C$6)+1), ROWS($C$5:C12))),"")</f>
        <v>0</v>
      </c>
      <c r="M12" s="36" t="str">
        <f t="array" aca="1" ref="M12" ca="1">IFERROR(INDEX(Purchase!$C$6:$C$18,SMALL(IF(Purchase!$C$6:$C$18=TODAY(),ROW(Purchase!$C$6:$C$18)-ROW(Purchase!$C$6)+1), ROWS($M$5:M12))),"")</f>
        <v/>
      </c>
      <c r="N12" t="str">
        <f t="array" aca="1" ref="N12" ca="1">IFERROR(INDEX(Purchase!$D$6:$D$18,SMALL(IF(Purchase!$C$6:$C$18=TODAY(),ROW(Purchase!$C$6:$C$18)-ROW(Purchase!$C$6)+1), ROWS($M$5:M12))),"")</f>
        <v/>
      </c>
      <c r="O12" t="str">
        <f t="array" aca="1" ref="O12" ca="1">IFERROR(INDEX(Purchase!$E$6:$E$18,SMALL(IF(Purchase!$C$6:$C$18=TODAY(),ROW(Purchase!$C$6:$C$18)-ROW(Purchase!$C$6)+1), ROWS($M$5:M12))),"")</f>
        <v/>
      </c>
      <c r="P12" t="str">
        <f t="array" aca="1" ref="P12" ca="1">IFERROR(INDEX(Purchase!$F$6:$F$18,SMALL(IF(Purchase!$C$6:$C$18=TODAY(),ROW(Purchase!$C$6:$C$18)-ROW(Purchase!$C$6)+1), ROWS($M$5:M12))),"")</f>
        <v/>
      </c>
    </row>
    <row r="13" spans="3:16">
      <c r="C13" s="36">
        <f t="array" aca="1" ref="C13" ca="1">IFERROR(INDEX(Purchase!$C$6:$C$18,SMALL(IF(Purchase!$C$6:$C$18&lt;TODAY(),ROW(Purchase!$C$6:$C$18)-ROW(Purchase!$C$6)+1), ROWS($C$5:C13))),"")</f>
        <v>0</v>
      </c>
      <c r="D13">
        <f t="array" aca="1" ref="D13" ca="1">IFERROR(INDEX(Purchase!$D$6:$D$18,SMALL(IF(Purchase!$C$6:$C$18&lt;TODAY(),ROW(Purchase!$C$6:$C$18)-ROW(Purchase!$C$6)+1), ROWS($C$5:C13))),"")</f>
        <v>0</v>
      </c>
      <c r="E13">
        <f t="array" aca="1" ref="E13" ca="1">IFERROR(INDEX(Purchase!$E$6:$E$18,SMALL(IF(Purchase!$C$6:$C$18&lt;TODAY(),ROW(Purchase!$C$6:$C$18)-ROW(Purchase!$C$6)+1), ROWS($C$5:C13))),"")</f>
        <v>0</v>
      </c>
      <c r="F13">
        <f t="array" aca="1" ref="F13" ca="1">IFERROR(INDEX(Purchase!$F$6:$F$18,SMALL(IF(Purchase!$C$6:$C$18&lt;TODAY(),ROW(Purchase!$C$6:$C$18)-ROW(Purchase!$C$6)+1), ROWS($C$5:C13))),"")</f>
        <v>0</v>
      </c>
      <c r="M13" s="36" t="str">
        <f t="array" aca="1" ref="M13" ca="1">IFERROR(INDEX(Purchase!$C$6:$C$18,SMALL(IF(Purchase!$C$6:$C$18=TODAY(),ROW(Purchase!$C$6:$C$18)-ROW(Purchase!$C$6)+1), ROWS($M$5:M13))),"")</f>
        <v/>
      </c>
      <c r="N13" t="str">
        <f t="array" aca="1" ref="N13" ca="1">IFERROR(INDEX(Purchase!$D$6:$D$18,SMALL(IF(Purchase!$C$6:$C$18=TODAY(),ROW(Purchase!$C$6:$C$18)-ROW(Purchase!$C$6)+1), ROWS($M$5:M13))),"")</f>
        <v/>
      </c>
      <c r="O13" t="str">
        <f t="array" aca="1" ref="O13" ca="1">IFERROR(INDEX(Purchase!$E$6:$E$18,SMALL(IF(Purchase!$C$6:$C$18=TODAY(),ROW(Purchase!$C$6:$C$18)-ROW(Purchase!$C$6)+1), ROWS($M$5:M13))),"")</f>
        <v/>
      </c>
      <c r="P13" t="str">
        <f t="array" aca="1" ref="P13" ca="1">IFERROR(INDEX(Purchase!$F$6:$F$18,SMALL(IF(Purchase!$C$6:$C$18=TODAY(),ROW(Purchase!$C$6:$C$18)-ROW(Purchase!$C$6)+1), ROWS($M$5:M13))),"")</f>
        <v/>
      </c>
    </row>
    <row r="14" spans="3:16">
      <c r="C14" s="36">
        <f t="array" aca="1" ref="C14" ca="1">IFERROR(INDEX(Purchase!$C$6:$C$18,SMALL(IF(Purchase!$C$6:$C$18&lt;TODAY(),ROW(Purchase!$C$6:$C$18)-ROW(Purchase!$C$6)+1), ROWS($C$5:C14))),"")</f>
        <v>0</v>
      </c>
      <c r="D14">
        <f t="array" aca="1" ref="D14" ca="1">IFERROR(INDEX(Purchase!$D$6:$D$18,SMALL(IF(Purchase!$C$6:$C$18&lt;TODAY(),ROW(Purchase!$C$6:$C$18)-ROW(Purchase!$C$6)+1), ROWS($C$5:C14))),"")</f>
        <v>0</v>
      </c>
      <c r="E14">
        <f t="array" aca="1" ref="E14" ca="1">IFERROR(INDEX(Purchase!$E$6:$E$18,SMALL(IF(Purchase!$C$6:$C$18&lt;TODAY(),ROW(Purchase!$C$6:$C$18)-ROW(Purchase!$C$6)+1), ROWS($C$5:C14))),"")</f>
        <v>0</v>
      </c>
      <c r="F14">
        <f t="array" aca="1" ref="F14" ca="1">IFERROR(INDEX(Purchase!$F$6:$F$18,SMALL(IF(Purchase!$C$6:$C$18&lt;TODAY(),ROW(Purchase!$C$6:$C$18)-ROW(Purchase!$C$6)+1), ROWS($C$5:C14))),"")</f>
        <v>0</v>
      </c>
      <c r="M14" s="36" t="str">
        <f t="array" aca="1" ref="M14" ca="1">IFERROR(INDEX(Purchase!$C$6:$C$18,SMALL(IF(Purchase!$C$6:$C$18=TODAY(),ROW(Purchase!$C$6:$C$18)-ROW(Purchase!$C$6)+1), ROWS($M$5:M14))),"")</f>
        <v/>
      </c>
      <c r="N14" t="str">
        <f t="array" aca="1" ref="N14" ca="1">IFERROR(INDEX(Purchase!$D$6:$D$18,SMALL(IF(Purchase!$C$6:$C$18=TODAY(),ROW(Purchase!$C$6:$C$18)-ROW(Purchase!$C$6)+1), ROWS($M$5:M14))),"")</f>
        <v/>
      </c>
      <c r="O14" t="str">
        <f t="array" aca="1" ref="O14" ca="1">IFERROR(INDEX(Purchase!$E$6:$E$18,SMALL(IF(Purchase!$C$6:$C$18=TODAY(),ROW(Purchase!$C$6:$C$18)-ROW(Purchase!$C$6)+1), ROWS($M$5:M14))),"")</f>
        <v/>
      </c>
      <c r="P14" t="str">
        <f t="array" aca="1" ref="P14" ca="1">IFERROR(INDEX(Purchase!$F$6:$F$18,SMALL(IF(Purchase!$C$6:$C$18=TODAY(),ROW(Purchase!$C$6:$C$18)-ROW(Purchase!$C$6)+1), ROWS($M$5:M14))),"")</f>
        <v/>
      </c>
    </row>
    <row r="15" spans="3:16">
      <c r="C15" s="36">
        <f t="array" aca="1" ref="C15" ca="1">IFERROR(INDEX(Purchase!$C$6:$C$18,SMALL(IF(Purchase!$C$6:$C$18&lt;TODAY(),ROW(Purchase!$C$6:$C$18)-ROW(Purchase!$C$6)+1), ROWS($C$5:C15))),"")</f>
        <v>0</v>
      </c>
      <c r="D15">
        <f t="array" aca="1" ref="D15" ca="1">IFERROR(INDEX(Purchase!$D$6:$D$18,SMALL(IF(Purchase!$C$6:$C$18&lt;TODAY(),ROW(Purchase!$C$6:$C$18)-ROW(Purchase!$C$6)+1), ROWS($C$5:C15))),"")</f>
        <v>0</v>
      </c>
      <c r="E15">
        <f t="array" aca="1" ref="E15" ca="1">IFERROR(INDEX(Purchase!$E$6:$E$18,SMALL(IF(Purchase!$C$6:$C$18&lt;TODAY(),ROW(Purchase!$C$6:$C$18)-ROW(Purchase!$C$6)+1), ROWS($C$5:C15))),"")</f>
        <v>0</v>
      </c>
      <c r="F15">
        <f t="array" aca="1" ref="F15" ca="1">IFERROR(INDEX(Purchase!$F$6:$F$18,SMALL(IF(Purchase!$C$6:$C$18&lt;TODAY(),ROW(Purchase!$C$6:$C$18)-ROW(Purchase!$C$6)+1), ROWS($C$5:C15))),"")</f>
        <v>0</v>
      </c>
      <c r="M15" s="36" t="str">
        <f t="array" aca="1" ref="M15" ca="1">IFERROR(INDEX(Purchase!$C$6:$C$18,SMALL(IF(Purchase!$C$6:$C$18=TODAY(),ROW(Purchase!$C$6:$C$18)-ROW(Purchase!$C$6)+1), ROWS($M$5:M15))),"")</f>
        <v/>
      </c>
      <c r="N15" t="str">
        <f t="array" aca="1" ref="N15" ca="1">IFERROR(INDEX(Purchase!$D$6:$D$18,SMALL(IF(Purchase!$C$6:$C$18=TODAY(),ROW(Purchase!$C$6:$C$18)-ROW(Purchase!$C$6)+1), ROWS($M$5:M15))),"")</f>
        <v/>
      </c>
      <c r="O15" t="str">
        <f t="array" aca="1" ref="O15" ca="1">IFERROR(INDEX(Purchase!$E$6:$E$18,SMALL(IF(Purchase!$C$6:$C$18=TODAY(),ROW(Purchase!$C$6:$C$18)-ROW(Purchase!$C$6)+1), ROWS($M$5:M15))),"")</f>
        <v/>
      </c>
      <c r="P15" t="str">
        <f t="array" aca="1" ref="P15" ca="1">IFERROR(INDEX(Purchase!$F$6:$F$18,SMALL(IF(Purchase!$C$6:$C$18=TODAY(),ROW(Purchase!$C$6:$C$18)-ROW(Purchase!$C$6)+1), ROWS($M$5:M15))),"")</f>
        <v/>
      </c>
    </row>
    <row r="16" spans="3:16">
      <c r="C16" s="36" t="str">
        <f t="array" aca="1" ref="C16" ca="1">IFERROR(INDEX(Purchase!$C$6:$C$18,SMALL(IF(Purchase!$C$6:$C$18&lt;TODAY(),ROW(Purchase!$C$6:$C$18)-ROW(Purchase!$C$6)+1), ROWS($C$5:C16))),"")</f>
        <v/>
      </c>
      <c r="D16" t="str">
        <f t="array" aca="1" ref="D16" ca="1">IFERROR(INDEX(Purchase!$D$6:$D$18,SMALL(IF(Purchase!$C$6:$C$18&lt;TODAY(),ROW(Purchase!$C$6:$C$18)-ROW(Purchase!$C$6)+1), ROWS($C$5:C16))),"")</f>
        <v/>
      </c>
      <c r="E16" t="str">
        <f t="array" aca="1" ref="E16" ca="1">IFERROR(INDEX(Purchase!$E$9:$E$18,SMALL(IF(Purchase!$C$9:$C$18&lt;TODAY(),ROW(Purchase!$C$9:$C$18)-ROW(Purchase!$C$9)+1), ROWS($C$5:C16))),"")</f>
        <v/>
      </c>
      <c r="F16" t="str">
        <f t="array" aca="1" ref="F16" ca="1">IFERROR(INDEX(Purchase!$F$9:$F$18,SMALL(IF(Purchase!$C$9:$C$18&lt;TODAY(),ROW(Purchase!$C$9:$C$18)-ROW(Purchase!$C$9)+1), ROWS($C$5:C16))),"")</f>
        <v/>
      </c>
      <c r="M16" s="36" t="str">
        <f t="array" aca="1" ref="M16" ca="1">IFERROR(INDEX(Purchase!$C$6:$C$18,SMALL(IF(Purchase!$C$6:$C$18=TODAY(),ROW(Purchase!$C$6:$C$18)-ROW(Purchase!$C$6)+1), ROWS($M$5:M16))),"")</f>
        <v/>
      </c>
      <c r="N16" t="str">
        <f t="array" aca="1" ref="N16" ca="1">IFERROR(INDEX(Purchase!$D$6:$D$18,SMALL(IF(Purchase!$C$6:$C$18=TODAY(),ROW(Purchase!$C$6:$C$18)-ROW(Purchase!$C$6)+1), ROWS($M$5:M16))),"")</f>
        <v/>
      </c>
      <c r="O16" t="str">
        <f t="array" aca="1" ref="O16" ca="1">IFERROR(INDEX(Purchase!$E$6:$E$18,SMALL(IF(Purchase!$C$6:$C$18=TODAY(),ROW(Purchase!$C$6:$C$18)-ROW(Purchase!$C$6)+1), ROWS($M$5:M16))),"")</f>
        <v/>
      </c>
      <c r="P16" t="str">
        <f t="array" aca="1" ref="P16" ca="1">IFERROR(INDEX(Purchase!$F$6:$F$18,SMALL(IF(Purchase!$C$6:$C$18=TODAY(),ROW(Purchase!$C$6:$C$18)-ROW(Purchase!$C$6)+1), ROWS($M$5:M16))),"")</f>
        <v/>
      </c>
    </row>
    <row r="17" spans="3:16">
      <c r="C17" s="36" t="str">
        <f t="array" aca="1" ref="C17" ca="1">IFERROR(INDEX(Purchase!$C$6:$C$18,SMALL(IF(Purchase!$C$6:$C$18&lt;TODAY(),ROW(Purchase!$C$6:$C$18)-ROW(Purchase!$C$6)+1), ROWS($C$5:C17))),"")</f>
        <v/>
      </c>
      <c r="D17" t="str">
        <f t="array" aca="1" ref="D17" ca="1">IFERROR(INDEX(Purchase!$D$6:$D$18,SMALL(IF(Purchase!$C$6:$C$18&lt;TODAY(),ROW(Purchase!$C$6:$C$18)-ROW(Purchase!$C$6)+1), ROWS($C$5:C17))),"")</f>
        <v/>
      </c>
      <c r="E17" t="str">
        <f t="array" aca="1" ref="E17" ca="1">IFERROR(INDEX(Purchase!$E$9:$E$18,SMALL(IF(Purchase!$C$9:$C$18&lt;TODAY(),ROW(Purchase!$C$9:$C$18)-ROW(Purchase!$C$9)+1), ROWS($C$5:C17))),"")</f>
        <v/>
      </c>
      <c r="F17" t="str">
        <f t="array" aca="1" ref="F17" ca="1">IFERROR(INDEX(Purchase!$F$9:$F$18,SMALL(IF(Purchase!$C$9:$C$18&lt;TODAY(),ROW(Purchase!$C$9:$C$18)-ROW(Purchase!$C$9)+1), ROWS($C$5:C17))),"")</f>
        <v/>
      </c>
      <c r="M17" s="36" t="str">
        <f t="array" aca="1" ref="M17" ca="1">IFERROR(INDEX(Purchase!$C$6:$C$18,SMALL(IF(Purchase!$C$6:$C$18=TODAY(),ROW(Purchase!$C$6:$C$18)-ROW(Purchase!$C$6)+1), ROWS($M$5:M17))),"")</f>
        <v/>
      </c>
      <c r="N17" t="str">
        <f t="array" aca="1" ref="N17" ca="1">IFERROR(INDEX(Purchase!$D$6:$D$18,SMALL(IF(Purchase!$C$6:$C$18=TODAY(),ROW(Purchase!$C$6:$C$18)-ROW(Purchase!$C$6)+1), ROWS($M$5:M17))),"")</f>
        <v/>
      </c>
      <c r="O17" t="str">
        <f t="array" aca="1" ref="O17" ca="1">IFERROR(INDEX(Purchase!$E$6:$E$18,SMALL(IF(Purchase!$C$6:$C$18=TODAY(),ROW(Purchase!$C$6:$C$18)-ROW(Purchase!$C$6)+1), ROWS($M$5:M17))),"")</f>
        <v/>
      </c>
      <c r="P17" t="str">
        <f t="array" aca="1" ref="P17" ca="1">IFERROR(INDEX(Purchase!$F$6:$F$18,SMALL(IF(Purchase!$C$6:$C$18=TODAY(),ROW(Purchase!$C$6:$C$18)-ROW(Purchase!$C$6)+1), ROWS($M$5:M17))),"")</f>
        <v/>
      </c>
    </row>
    <row r="18" spans="3:16">
      <c r="C18" s="36" t="str">
        <f t="array" aca="1" ref="C18" ca="1">IFERROR(INDEX(Purchase!$C$6:$C$18,SMALL(IF(Purchase!$C$6:$C$18&lt;TODAY(),ROW(Purchase!$C$6:$C$18)-ROW(Purchase!$C$9)+1), ROWS($C$5:C18))),"")</f>
        <v/>
      </c>
      <c r="D18" t="str">
        <f t="array" aca="1" ref="D18" ca="1">IFERROR(INDEX(Purchase!$D$6:$D$18,SMALL(IF(Purchase!$C$6:$C$18&lt;TODAY(),ROW(Purchase!$C$6:$C$18)-ROW(Purchase!$C$6)+1), ROWS($C$5:C18))),"")</f>
        <v/>
      </c>
      <c r="E18" t="str">
        <f t="array" aca="1" ref="E18" ca="1">IFERROR(INDEX(Purchase!$E$9:$E$18,SMALL(IF(Purchase!$C$9:$C$18&lt;TODAY(),ROW(Purchase!$C$9:$C$18)-ROW(Purchase!$C$9)+1), ROWS($C$5:C18))),"")</f>
        <v/>
      </c>
      <c r="F18" t="str">
        <f t="array" aca="1" ref="F18" ca="1">IFERROR(INDEX(Purchase!$F$9:$F$18,SMALL(IF(Purchase!$C$9:$C$18&lt;TODAY(),ROW(Purchase!$C$9:$C$18)-ROW(Purchase!$C$9)+1), ROWS($C$5:C18))),"")</f>
        <v/>
      </c>
      <c r="M18" s="36" t="str">
        <f t="array" aca="1" ref="M18" ca="1">IFERROR(INDEX(Purchase!$C$6:$C$18,SMALL(IF(Purchase!$C$6:$C$18=TODAY(),ROW(Purchase!$C$6:$C$18)-ROW(Purchase!$C$6)+1), ROWS($M$5:M18))),"")</f>
        <v/>
      </c>
      <c r="N18" t="str">
        <f t="array" aca="1" ref="N18" ca="1">IFERROR(INDEX(Purchase!$D$6:$D$18,SMALL(IF(Purchase!$C$6:$C$18=TODAY(),ROW(Purchase!$C$6:$C$18)-ROW(Purchase!$C$6)+1), ROWS($M$5:M18))),"")</f>
        <v/>
      </c>
      <c r="O18" t="str">
        <f t="array" aca="1" ref="O18" ca="1">IFERROR(INDEX(Purchase!$E$6:$E$18,SMALL(IF(Purchase!$C$6:$C$18=TODAY(),ROW(Purchase!$C$6:$C$18)-ROW(Purchase!$C$6)+1), ROWS($M$5:M18))),"")</f>
        <v/>
      </c>
      <c r="P18" t="str">
        <f t="array" aca="1" ref="P18" ca="1">IFERROR(INDEX(Purchase!$F$6:$F$18,SMALL(IF(Purchase!$C$6:$C$18=TODAY(),ROW(Purchase!$C$6:$C$18)-ROW(Purchase!$C$6)+1), ROWS($M$5:M18))),"")</f>
        <v/>
      </c>
    </row>
    <row r="19" spans="3:16">
      <c r="C19" s="36" t="str">
        <f t="array" aca="1" ref="C19" ca="1">IFERROR(INDEX(Purchase!$C$6:$C$18,SMALL(IF(Purchase!$C$6:$C$18&lt;TODAY(),ROW(Purchase!$C$6:$C$18)-ROW(Purchase!$C$9)+1), ROWS($C$5:C19))),"")</f>
        <v/>
      </c>
      <c r="D19" t="str">
        <f t="array" aca="1" ref="D19" ca="1">IFERROR(INDEX(Purchase!$D$6:$D$18,SMALL(IF(Purchase!$C$6:$C$18&lt;TODAY(),ROW(Purchase!$C$6:$C$18)-ROW(Purchase!$C$6)+1), ROWS($C$5:C19))),"")</f>
        <v/>
      </c>
      <c r="E19" t="str">
        <f t="array" aca="1" ref="E19" ca="1">IFERROR(INDEX(Purchase!$E$9:$E$18,SMALL(IF(Purchase!$C$9:$C$18&lt;TODAY(),ROW(Purchase!$C$9:$C$18)-ROW(Purchase!$C$9)+1), ROWS($C$5:C19))),"")</f>
        <v/>
      </c>
      <c r="F19" t="str">
        <f t="array" aca="1" ref="F19" ca="1">IFERROR(INDEX(Purchase!$F$9:$F$18,SMALL(IF(Purchase!$C$9:$C$18&lt;TODAY(),ROW(Purchase!$C$9:$C$18)-ROW(Purchase!$C$9)+1), ROWS($C$5:C19))),"")</f>
        <v/>
      </c>
      <c r="M19" s="36" t="str">
        <f t="array" aca="1" ref="M19" ca="1">IFERROR(INDEX(Purchase!$C$6:$C$18,SMALL(IF(Purchase!$C$6:$C$18=TODAY(),ROW(Purchase!$C$6:$C$18)-ROW(Purchase!$C$6)+1), ROWS($M$5:M19))),"")</f>
        <v/>
      </c>
      <c r="N19" t="str">
        <f t="array" aca="1" ref="N19" ca="1">IFERROR(INDEX(Purchase!$D$6:$D$18,SMALL(IF(Purchase!$C$6:$C$18=TODAY(),ROW(Purchase!$C$6:$C$18)-ROW(Purchase!$C$6)+1), ROWS($M$5:M19))),"")</f>
        <v/>
      </c>
      <c r="O19" t="str">
        <f t="array" aca="1" ref="O19" ca="1">IFERROR(INDEX(Purchase!$E$6:$E$18,SMALL(IF(Purchase!$C$6:$C$18=TODAY(),ROW(Purchase!$C$6:$C$18)-ROW(Purchase!$C$6)+1), ROWS($M$5:M19))),"")</f>
        <v/>
      </c>
      <c r="P19" t="str">
        <f t="array" aca="1" ref="P19" ca="1">IFERROR(INDEX(Purchase!$F$6:$F$18,SMALL(IF(Purchase!$C$6:$C$18=TODAY(),ROW(Purchase!$C$6:$C$18)-ROW(Purchase!$C$6)+1), ROWS($M$5:M19))),"")</f>
        <v/>
      </c>
    </row>
    <row r="20" spans="3:16">
      <c r="C20" s="36" t="str">
        <f t="array" aca="1" ref="C20" ca="1">IFERROR(INDEX(Purchase!$C$5:$C$18,SMALL(IF(Purchase!$C$5:$C$18&lt;TODAY(),ROW(Purchase!$C$5:$C$18)-ROW(Purchase!$C$5)+1), ROWS($C$5:C20))),"")</f>
        <v/>
      </c>
      <c r="D20" t="str">
        <f t="array" aca="1" ref="D20" ca="1">IFERROR(INDEX(Purchase!$D$6:$D$18,SMALL(IF(Purchase!$C$6:$C$18&lt;TODAY(),ROW(Purchase!$C$6:$C$18)-ROW(Purchase!$C$6)+1), ROWS($C$5:C20))),"")</f>
        <v/>
      </c>
      <c r="E20" t="str">
        <f t="array" aca="1" ref="E20" ca="1">IFERROR(INDEX(Purchase!$E$9:$E$18,SMALL(IF(Purchase!$C$9:$C$18&lt;TODAY(),ROW(Purchase!$C$9:$C$18)-ROW(Purchase!$C$9)+1), ROWS($C$5:C20))),"")</f>
        <v/>
      </c>
      <c r="F20" t="str">
        <f t="array" aca="1" ref="F20" ca="1">IFERROR(INDEX(Purchase!$F$9:$F$18,SMALL(IF(Purchase!$C$9:$C$18&lt;TODAY(),ROW(Purchase!$C$9:$C$18)-ROW(Purchase!$C$9)+1), ROWS($C$5:C20))),"")</f>
        <v/>
      </c>
      <c r="M20" s="36" t="str">
        <f t="array" aca="1" ref="M20" ca="1">IFERROR(INDEX(Purchase!$C$6:$C$18,SMALL(IF(Purchase!$C$6:$C$18=TODAY(),ROW(Purchase!$C$6:$C$18)-ROW(Purchase!$C$6)+1), ROWS($M$5:M20))),"")</f>
        <v/>
      </c>
      <c r="N20" t="str">
        <f t="array" aca="1" ref="N20" ca="1">IFERROR(INDEX(Purchase!$D$6:$D$18,SMALL(IF(Purchase!$C$6:$C$18=TODAY(),ROW(Purchase!$C$6:$C$18)-ROW(Purchase!$C$6)+1), ROWS($M$5:M20))),"")</f>
        <v/>
      </c>
      <c r="O20" t="str">
        <f t="array" aca="1" ref="O20" ca="1">IFERROR(INDEX(Purchase!$E$6:$E$18,SMALL(IF(Purchase!$C$6:$C$18=TODAY(),ROW(Purchase!$C$6:$C$18)-ROW(Purchase!$C$6)+1), ROWS($M$5:M20))),"")</f>
        <v/>
      </c>
      <c r="P20" t="str">
        <f t="array" aca="1" ref="P20" ca="1">IFERROR(INDEX(Purchase!$F$6:$F$18,SMALL(IF(Purchase!$C$6:$C$18=TODAY(),ROW(Purchase!$C$6:$C$18)-ROW(Purchase!$C$6)+1), ROWS($M$5:M20))),"")</f>
        <v/>
      </c>
    </row>
  </sheetData>
  <mergeCells count="2">
    <mergeCell ref="C2:F3"/>
    <mergeCell ref="M2:P3"/>
  </mergeCells>
  <pageMargins left="0.7" right="0.7" top="0.75" bottom="0.75" header="0.3" footer="0.3"/>
  <drawing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F18"/>
  <sheetViews>
    <sheetView zoomScale="150" zoomScaleNormal="150" workbookViewId="0">
      <selection activeCell="B4" sqref="B4:F4"/>
    </sheetView>
  </sheetViews>
  <sheetFormatPr defaultRowHeight="15"/>
  <cols>
    <col min="3" max="3" width="11.7109375" style="36" customWidth="1"/>
  </cols>
  <sheetData>
    <row r="1" spans="2:6">
      <c r="B1" s="29" t="s">
        <v>8</v>
      </c>
      <c r="C1" s="29"/>
      <c r="D1" s="29"/>
      <c r="E1" s="29"/>
      <c r="F1" s="29"/>
    </row>
    <row r="2" spans="2:6">
      <c r="B2" s="30"/>
      <c r="C2" s="30"/>
      <c r="D2" s="30"/>
      <c r="E2" s="30"/>
      <c r="F2" s="30"/>
    </row>
    <row r="3" spans="2:6">
      <c r="B3" s="8" t="s">
        <v>9</v>
      </c>
      <c r="C3" s="37" t="s">
        <v>10</v>
      </c>
      <c r="D3" s="8" t="s">
        <v>11</v>
      </c>
      <c r="E3" s="8" t="s">
        <v>12</v>
      </c>
      <c r="F3" s="8" t="s">
        <v>13</v>
      </c>
    </row>
    <row r="4" spans="2:6">
      <c r="B4" s="9"/>
      <c r="C4" s="38"/>
      <c r="D4" s="9"/>
      <c r="E4" s="9"/>
      <c r="F4" s="9"/>
    </row>
    <row r="5" spans="2:6">
      <c r="B5" s="25">
        <v>9</v>
      </c>
      <c r="C5" s="26">
        <v>45892</v>
      </c>
      <c r="D5" s="40" t="s">
        <v>30</v>
      </c>
      <c r="E5" s="25">
        <v>25</v>
      </c>
      <c r="F5" s="25">
        <v>950</v>
      </c>
    </row>
    <row r="6" spans="2:6">
      <c r="B6" s="25">
        <v>8</v>
      </c>
      <c r="C6" s="26">
        <v>45889</v>
      </c>
      <c r="D6" s="40" t="s">
        <v>29</v>
      </c>
      <c r="E6" s="25">
        <v>45</v>
      </c>
      <c r="F6" s="25">
        <v>2250</v>
      </c>
    </row>
    <row r="7" spans="2:6">
      <c r="B7" s="25">
        <v>7</v>
      </c>
      <c r="C7" s="26">
        <v>45892</v>
      </c>
      <c r="D7" s="40" t="s">
        <v>28</v>
      </c>
      <c r="E7" s="25">
        <v>12</v>
      </c>
      <c r="F7" s="25">
        <v>1320</v>
      </c>
    </row>
    <row r="8" spans="2:6">
      <c r="B8" s="25">
        <v>6</v>
      </c>
      <c r="C8" s="26">
        <v>45892</v>
      </c>
      <c r="D8" s="27" t="s">
        <v>27</v>
      </c>
      <c r="E8" s="25">
        <v>15</v>
      </c>
      <c r="F8" s="25">
        <v>1500</v>
      </c>
    </row>
    <row r="9" spans="2:6">
      <c r="B9" s="25">
        <v>5</v>
      </c>
      <c r="C9" s="26">
        <v>45659</v>
      </c>
      <c r="D9" s="27" t="s">
        <v>24</v>
      </c>
      <c r="E9" s="25">
        <v>12</v>
      </c>
      <c r="F9" s="25">
        <v>420</v>
      </c>
    </row>
    <row r="10" spans="2:6">
      <c r="B10" s="5">
        <v>4</v>
      </c>
      <c r="C10" s="6">
        <v>45659</v>
      </c>
      <c r="D10" s="7" t="s">
        <v>20</v>
      </c>
      <c r="E10" s="5">
        <v>12</v>
      </c>
      <c r="F10" s="5">
        <v>720</v>
      </c>
    </row>
    <row r="11" spans="2:6">
      <c r="B11" s="5">
        <v>3</v>
      </c>
      <c r="C11" s="6">
        <v>45659</v>
      </c>
      <c r="D11" s="7" t="s">
        <v>5</v>
      </c>
      <c r="E11" s="5">
        <v>15</v>
      </c>
      <c r="F11" s="5">
        <v>520</v>
      </c>
    </row>
    <row r="12" spans="2:6">
      <c r="B12" s="5">
        <v>2</v>
      </c>
      <c r="C12" s="6">
        <v>45659</v>
      </c>
      <c r="D12" s="7" t="s">
        <v>21</v>
      </c>
      <c r="E12" s="5">
        <v>25</v>
      </c>
      <c r="F12" s="5">
        <v>1250</v>
      </c>
    </row>
    <row r="13" spans="2:6">
      <c r="B13" s="5">
        <v>1</v>
      </c>
      <c r="C13" s="6">
        <v>45659</v>
      </c>
      <c r="D13" s="7" t="s">
        <v>5</v>
      </c>
      <c r="E13" s="5">
        <v>10</v>
      </c>
      <c r="F13" s="5">
        <v>150</v>
      </c>
    </row>
    <row r="14" spans="2:6">
      <c r="B14" s="14"/>
      <c r="C14" s="15"/>
      <c r="D14" s="16"/>
      <c r="E14" s="14"/>
      <c r="F14" s="14"/>
    </row>
    <row r="15" spans="2:6">
      <c r="B15" s="14"/>
      <c r="C15" s="15"/>
      <c r="D15" s="16"/>
      <c r="E15" s="14"/>
      <c r="F15" s="14"/>
    </row>
    <row r="16" spans="2:6">
      <c r="B16" s="14"/>
      <c r="C16" s="15"/>
      <c r="D16" s="16"/>
      <c r="E16" s="14"/>
      <c r="F16" s="14"/>
    </row>
    <row r="17" spans="2:6">
      <c r="B17" s="14"/>
      <c r="C17" s="15"/>
      <c r="D17" s="16"/>
      <c r="E17" s="14"/>
      <c r="F17" s="14"/>
    </row>
    <row r="18" spans="2:6">
      <c r="B18" s="17"/>
      <c r="C18" s="39"/>
      <c r="D18" s="17"/>
      <c r="E18" s="17"/>
      <c r="F18" s="17"/>
    </row>
  </sheetData>
  <mergeCells count="1">
    <mergeCell ref="B1:F2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F12"/>
  <sheetViews>
    <sheetView zoomScale="150" zoomScaleNormal="150" workbookViewId="0">
      <selection activeCell="G13" sqref="G13"/>
    </sheetView>
  </sheetViews>
  <sheetFormatPr defaultRowHeight="15"/>
  <cols>
    <col min="3" max="3" width="11.7109375" customWidth="1"/>
  </cols>
  <sheetData>
    <row r="1" spans="2:6">
      <c r="B1" s="29" t="s">
        <v>14</v>
      </c>
      <c r="C1" s="29"/>
      <c r="D1" s="29"/>
      <c r="E1" s="29"/>
      <c r="F1" s="29"/>
    </row>
    <row r="2" spans="2:6">
      <c r="B2" s="30"/>
      <c r="C2" s="30"/>
      <c r="D2" s="30"/>
      <c r="E2" s="30"/>
      <c r="F2" s="30"/>
    </row>
    <row r="3" spans="2:6">
      <c r="B3" s="8" t="s">
        <v>9</v>
      </c>
      <c r="C3" s="8" t="s">
        <v>10</v>
      </c>
      <c r="D3" s="8" t="s">
        <v>11</v>
      </c>
      <c r="E3" s="8" t="s">
        <v>12</v>
      </c>
      <c r="F3" s="8" t="s">
        <v>13</v>
      </c>
    </row>
    <row r="4" spans="2:6">
      <c r="B4" s="9"/>
      <c r="C4" s="9"/>
      <c r="D4" s="9"/>
      <c r="E4" s="9"/>
      <c r="F4" s="9"/>
    </row>
    <row r="5" spans="2:6">
      <c r="B5" s="25">
        <v>5</v>
      </c>
      <c r="C5" s="26">
        <v>45659</v>
      </c>
      <c r="D5" s="27" t="s">
        <v>24</v>
      </c>
      <c r="E5" s="25">
        <v>5</v>
      </c>
      <c r="F5" s="25">
        <v>650</v>
      </c>
    </row>
    <row r="6" spans="2:6">
      <c r="B6" s="25">
        <v>4</v>
      </c>
      <c r="C6" s="26">
        <v>45659</v>
      </c>
      <c r="D6" s="27" t="s">
        <v>5</v>
      </c>
      <c r="E6" s="25">
        <v>8</v>
      </c>
      <c r="F6" s="25">
        <v>220</v>
      </c>
    </row>
    <row r="7" spans="2:6">
      <c r="B7" s="5">
        <v>3</v>
      </c>
      <c r="C7" s="6">
        <v>45659</v>
      </c>
      <c r="D7" s="7" t="s">
        <v>20</v>
      </c>
      <c r="E7" s="5">
        <v>5</v>
      </c>
      <c r="F7" s="5">
        <v>420</v>
      </c>
    </row>
    <row r="8" spans="2:6">
      <c r="B8" s="5">
        <v>2</v>
      </c>
      <c r="C8" s="6">
        <v>45659</v>
      </c>
      <c r="D8" s="7" t="s">
        <v>18</v>
      </c>
      <c r="E8" s="5">
        <v>5</v>
      </c>
      <c r="F8" s="5">
        <v>350</v>
      </c>
    </row>
    <row r="9" spans="2:6">
      <c r="B9" s="5">
        <v>1</v>
      </c>
      <c r="C9" s="6">
        <v>45659</v>
      </c>
      <c r="D9" s="7" t="s">
        <v>5</v>
      </c>
      <c r="E9" s="5">
        <v>5</v>
      </c>
      <c r="F9" s="5">
        <v>120</v>
      </c>
    </row>
    <row r="10" spans="2:6">
      <c r="B10" s="13"/>
      <c r="C10" s="13"/>
      <c r="D10" s="13"/>
      <c r="E10" s="13"/>
      <c r="F10" s="13"/>
    </row>
    <row r="11" spans="2:6">
      <c r="B11" s="14"/>
      <c r="C11" s="15"/>
      <c r="D11" s="16"/>
      <c r="E11" s="14"/>
      <c r="F11" s="14"/>
    </row>
    <row r="12" spans="2:6">
      <c r="B12" s="10"/>
      <c r="C12" s="10"/>
      <c r="D12" s="10"/>
      <c r="E12" s="10"/>
      <c r="F12" s="10"/>
    </row>
  </sheetData>
  <mergeCells count="1">
    <mergeCell ref="B1:F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G22"/>
  <sheetViews>
    <sheetView tabSelected="1" zoomScale="150" zoomScaleNormal="150" workbookViewId="0">
      <selection activeCell="G5" sqref="G5"/>
    </sheetView>
  </sheetViews>
  <sheetFormatPr defaultRowHeight="15"/>
  <cols>
    <col min="2" max="2" width="12.28515625" customWidth="1"/>
    <col min="3" max="3" width="11.85546875" customWidth="1"/>
    <col min="7" max="7" width="8.140625" hidden="1" customWidth="1"/>
  </cols>
  <sheetData>
    <row r="1" spans="2:7">
      <c r="B1" s="31" t="s">
        <v>17</v>
      </c>
      <c r="C1" s="32"/>
      <c r="D1" s="32"/>
      <c r="E1" s="32"/>
    </row>
    <row r="2" spans="2:7">
      <c r="B2" s="32"/>
      <c r="C2" s="32"/>
      <c r="D2" s="32"/>
      <c r="E2" s="32"/>
    </row>
    <row r="3" spans="2:7">
      <c r="B3" s="11" t="s">
        <v>11</v>
      </c>
      <c r="C3" s="11" t="s">
        <v>15</v>
      </c>
      <c r="D3" s="11" t="s">
        <v>16</v>
      </c>
      <c r="E3" s="11" t="s">
        <v>17</v>
      </c>
      <c r="G3" t="s">
        <v>19</v>
      </c>
    </row>
    <row r="4" spans="2:7">
      <c r="B4" s="40" t="s">
        <v>30</v>
      </c>
      <c r="C4" s="18">
        <f>SUMIF(Purchase!D3:D18,Table1[[#This Row],[Item]],Purchase!E3:E18)</f>
        <v>25</v>
      </c>
      <c r="D4" s="18">
        <f>SUMIF(Sale!D3:D12,Table1[[#This Row],[Item]],Sale!E3:E12)</f>
        <v>0</v>
      </c>
      <c r="E4" s="18">
        <f>Table1[[#This Row],[P Qty]]-Table1[[#This Row],[S Qty]]</f>
        <v>25</v>
      </c>
      <c r="G4" t="str">
        <f>"&lt;&gt;"</f>
        <v>&lt;&gt;</v>
      </c>
    </row>
    <row r="5" spans="2:7">
      <c r="B5" s="40" t="s">
        <v>29</v>
      </c>
      <c r="C5" s="18">
        <f>SUMIF(Purchase!D9:D19,Table1[[#This Row],[Item]],Purchase!E9:E19)</f>
        <v>0</v>
      </c>
      <c r="D5" s="18">
        <f>SUMIF(Sale!D5:D13,Table1[[#This Row],[Item]],Sale!E5:E13)</f>
        <v>0</v>
      </c>
      <c r="E5" s="18">
        <f>Table1[[#This Row],[P Qty]]-Table1[[#This Row],[S Qty]]</f>
        <v>0</v>
      </c>
    </row>
    <row r="6" spans="2:7">
      <c r="B6" s="40" t="s">
        <v>28</v>
      </c>
      <c r="C6" s="18">
        <f>SUMIF(Purchase!D10:D20,Table1[[#This Row],[Item]],Purchase!E10:E20)</f>
        <v>0</v>
      </c>
      <c r="D6" s="18">
        <f>SUMIF(Sale!D6:D14,Table1[[#This Row],[Item]],Sale!E6:E14)</f>
        <v>0</v>
      </c>
      <c r="E6" s="18">
        <f>Table1[[#This Row],[P Qty]]-Table1[[#This Row],[S Qty]]</f>
        <v>0</v>
      </c>
    </row>
    <row r="7" spans="2:7">
      <c r="B7" s="27" t="s">
        <v>27</v>
      </c>
      <c r="C7" s="18">
        <f>SUMIF(Purchase!D11:D21,Table1[[#This Row],[Item]],Purchase!E11:E21)</f>
        <v>0</v>
      </c>
      <c r="D7" s="18">
        <f>SUMIF(Sale!D7:D15,Table1[[#This Row],[Item]],Sale!E7:E15)</f>
        <v>0</v>
      </c>
      <c r="E7" s="18">
        <f>Table1[[#This Row],[P Qty]]-Table1[[#This Row],[S Qty]]</f>
        <v>0</v>
      </c>
    </row>
    <row r="8" spans="2:7">
      <c r="B8" s="27" t="s">
        <v>24</v>
      </c>
      <c r="C8" s="18">
        <f>SUMIF(Purchase!D12:D22,Table1[[#This Row],[Item]],Purchase!E12:E22)</f>
        <v>0</v>
      </c>
      <c r="D8" s="18">
        <f>SUMIF(Sale!D8:D16,Table1[[#This Row],[Item]],Sale!E8:E16)</f>
        <v>0</v>
      </c>
      <c r="E8" s="18">
        <f>Table1[[#This Row],[P Qty]]-Table1[[#This Row],[S Qty]]</f>
        <v>0</v>
      </c>
    </row>
    <row r="9" spans="2:7">
      <c r="B9" s="7" t="s">
        <v>20</v>
      </c>
      <c r="C9" s="19">
        <f>SUMIF(Purchase!D13:D23,Table1[[#This Row],[Item]],Purchase!E13:E23)</f>
        <v>0</v>
      </c>
      <c r="D9" s="19">
        <f>SUMIF(Sale!D9:D17,Table1[[#This Row],[Item]],Sale!E9:E17)</f>
        <v>0</v>
      </c>
      <c r="E9" s="19">
        <f>Table1[[#This Row],[P Qty]]-Table1[[#This Row],[S Qty]]</f>
        <v>0</v>
      </c>
    </row>
    <row r="10" spans="2:7">
      <c r="B10" s="7" t="s">
        <v>5</v>
      </c>
      <c r="C10" s="19">
        <f>SUMIF(Purchase!D14:D24,Table1[[#This Row],[Item]],Purchase!E14:E24)</f>
        <v>0</v>
      </c>
      <c r="D10" s="19">
        <f>SUMIF(Sale!D10:D18,Table1[[#This Row],[Item]],Sale!E10:E18)</f>
        <v>0</v>
      </c>
      <c r="E10" s="19">
        <f>Table1[[#This Row],[P Qty]]-Table1[[#This Row],[S Qty]]</f>
        <v>0</v>
      </c>
    </row>
    <row r="11" spans="2:7">
      <c r="B11" s="7" t="s">
        <v>21</v>
      </c>
      <c r="C11" s="21">
        <f>SUMIF(Purchase!D15:D25,Table1[[#This Row],[Item]],Purchase!E15:E25)</f>
        <v>0</v>
      </c>
      <c r="D11" s="21">
        <f>SUMIF(Sale!D11:D19,Table1[[#This Row],[Item]],Sale!E11:E19)</f>
        <v>0</v>
      </c>
      <c r="E11" s="21">
        <f>Table1[[#This Row],[P Qty]]-Table1[[#This Row],[S Qty]]</f>
        <v>0</v>
      </c>
    </row>
    <row r="12" spans="2:7">
      <c r="B12" s="18"/>
      <c r="C12" s="19">
        <f>SUMIF(Purchase!D11:D26,Table1[[#This Row],[Item]],Purchase!E11:E26)</f>
        <v>0</v>
      </c>
      <c r="D12" s="19">
        <f>SUMIF(Sale!D11:D20,Table1[[#This Row],[Item]],Sale!E11:E20)</f>
        <v>0</v>
      </c>
      <c r="E12" s="19">
        <f>Table1[[#This Row],[P Qty]]-Table1[[#This Row],[S Qty]]</f>
        <v>0</v>
      </c>
    </row>
    <row r="13" spans="2:7">
      <c r="B13" s="18"/>
      <c r="C13" s="19">
        <f>SUMIF(Purchase!D12:D27,Table1[[#This Row],[Item]],Purchase!E12:E27)</f>
        <v>0</v>
      </c>
      <c r="D13" s="19">
        <f>SUMIF(Sale!D12:D21,Table1[[#This Row],[Item]],Sale!E12:E21)</f>
        <v>0</v>
      </c>
      <c r="E13" s="19">
        <f>Table1[[#This Row],[P Qty]]-Table1[[#This Row],[S Qty]]</f>
        <v>0</v>
      </c>
    </row>
    <row r="14" spans="2:7">
      <c r="B14" s="18"/>
      <c r="C14" s="19">
        <f>SUMIF(Purchase!D13:D28,Table1[[#This Row],[Item]],Purchase!E13:E28)</f>
        <v>0</v>
      </c>
      <c r="D14" s="19">
        <f>SUMIF(Sale!D13:D22,Table1[[#This Row],[Item]],Sale!E13:E22)</f>
        <v>0</v>
      </c>
      <c r="E14" s="19">
        <f>Table1[[#This Row],[P Qty]]-Table1[[#This Row],[S Qty]]</f>
        <v>0</v>
      </c>
    </row>
    <row r="15" spans="2:7">
      <c r="B15" s="18"/>
      <c r="C15" s="19">
        <f>SUMIF(Purchase!D14:D29,Table1[[#This Row],[Item]],Purchase!E14:E29)</f>
        <v>0</v>
      </c>
      <c r="D15" s="19">
        <f>SUMIF(Sale!D14:D23,Table1[[#This Row],[Item]],Sale!E14:E23)</f>
        <v>0</v>
      </c>
      <c r="E15" s="19">
        <f>Table1[[#This Row],[P Qty]]-Table1[[#This Row],[S Qty]]</f>
        <v>0</v>
      </c>
    </row>
    <row r="16" spans="2:7">
      <c r="B16" s="18"/>
      <c r="C16" s="19">
        <f>SUMIF(Purchase!D15:D30,Table1[[#This Row],[Item]],Purchase!E15:E30)</f>
        <v>0</v>
      </c>
      <c r="D16" s="19">
        <f>SUMIF(Sale!D15:D24,Table1[[#This Row],[Item]],Sale!E15:E24)</f>
        <v>0</v>
      </c>
      <c r="E16" s="19">
        <f>Table1[[#This Row],[P Qty]]-Table1[[#This Row],[S Qty]]</f>
        <v>0</v>
      </c>
    </row>
    <row r="17" spans="2:5">
      <c r="B17" s="18"/>
      <c r="C17" s="19">
        <f>SUMIF(Purchase!D16:D31,Table1[[#This Row],[Item]],Purchase!E16:E31)</f>
        <v>0</v>
      </c>
      <c r="D17" s="19">
        <f>SUMIF(Sale!D16:D25,Table1[[#This Row],[Item]],Sale!E16:E25)</f>
        <v>0</v>
      </c>
      <c r="E17" s="19">
        <f>Table1[[#This Row],[P Qty]]-Table1[[#This Row],[S Qty]]</f>
        <v>0</v>
      </c>
    </row>
    <row r="18" spans="2:5">
      <c r="B18" s="18"/>
      <c r="C18" s="19">
        <f>SUMIF(Purchase!D17:D32,Table1[[#This Row],[Item]],Purchase!E17:E32)</f>
        <v>0</v>
      </c>
      <c r="D18" s="19">
        <f>SUMIF(Sale!D17:D26,Table1[[#This Row],[Item]],Sale!E17:E26)</f>
        <v>0</v>
      </c>
      <c r="E18" s="19">
        <f>Table1[[#This Row],[P Qty]]-Table1[[#This Row],[S Qty]]</f>
        <v>0</v>
      </c>
    </row>
    <row r="19" spans="2:5">
      <c r="B19" s="18"/>
      <c r="C19" s="19">
        <f>SUMIF(Purchase!D18:D33,Table1[[#This Row],[Item]],Purchase!E18:E33)</f>
        <v>0</v>
      </c>
      <c r="D19" s="19">
        <f>SUMIF(Sale!D18:D27,Table1[[#This Row],[Item]],Sale!E18:E27)</f>
        <v>0</v>
      </c>
      <c r="E19" s="19">
        <f>Table1[[#This Row],[P Qty]]-Table1[[#This Row],[S Qty]]</f>
        <v>0</v>
      </c>
    </row>
    <row r="20" spans="2:5">
      <c r="B20" s="18"/>
      <c r="C20" s="19">
        <f>SUMIF(Purchase!D19:D34,Table1[[#This Row],[Item]],Purchase!E19:E34)</f>
        <v>0</v>
      </c>
      <c r="D20" s="19">
        <f>SUMIF(Sale!D19:D28,Table1[[#This Row],[Item]],Sale!E19:E28)</f>
        <v>0</v>
      </c>
      <c r="E20" s="19">
        <f>Table1[[#This Row],[P Qty]]-Table1[[#This Row],[S Qty]]</f>
        <v>0</v>
      </c>
    </row>
    <row r="21" spans="2:5">
      <c r="B21" s="18"/>
      <c r="C21" s="19">
        <f>SUMIF(Purchase!D20:D35,Table1[[#This Row],[Item]],Purchase!E20:E35)</f>
        <v>0</v>
      </c>
      <c r="D21" s="19">
        <f>SUMIF(Sale!D20:D29,Table1[[#This Row],[Item]],Sale!E20:E29)</f>
        <v>0</v>
      </c>
      <c r="E21" s="19">
        <f>Table1[[#This Row],[P Qty]]-Table1[[#This Row],[S Qty]]</f>
        <v>0</v>
      </c>
    </row>
    <row r="22" spans="2:5">
      <c r="B22" s="20"/>
      <c r="C22" s="21">
        <f>SUMIF(Purchase!D21:D36,Table1[[#This Row],[Item]],Purchase!E21:E36)</f>
        <v>0</v>
      </c>
      <c r="D22" s="21">
        <f>SUMIF(Sale!D21:D30,Table1[[#This Row],[Item]],Sale!E21:E30)</f>
        <v>0</v>
      </c>
      <c r="E22" s="21">
        <f>Table1[[#This Row],[P Qty]]-Table1[[#This Row],[S Qty]]</f>
        <v>0</v>
      </c>
    </row>
  </sheetData>
  <mergeCells count="1">
    <mergeCell ref="B1:E2"/>
  </mergeCells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Home</vt:lpstr>
      <vt:lpstr>Details</vt:lpstr>
      <vt:lpstr>Purchase</vt:lpstr>
      <vt:lpstr>Sale</vt:lpstr>
      <vt:lpstr>Stock</vt:lpstr>
      <vt:lpstr>Stock!Criteria</vt:lpstr>
      <vt:lpstr>Stock!Extract</vt:lpstr>
    </vt:vector>
  </TitlesOfParts>
  <Company>home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ismail - [2010]</dc:creator>
  <cp:lastModifiedBy>ismail - [2010]</cp:lastModifiedBy>
  <dcterms:created xsi:type="dcterms:W3CDTF">2025-08-19T05:40:35Z</dcterms:created>
  <dcterms:modified xsi:type="dcterms:W3CDTF">2025-08-23T06:18:36Z</dcterms:modified>
</cp:coreProperties>
</file>